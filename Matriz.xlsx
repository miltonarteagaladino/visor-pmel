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D:\working\waccache\BN3PEPF0000C58D\EXCELCNV\4083bd0a-e9b1-4ed7-ba17-4fd40c72d214\"/>
    </mc:Choice>
  </mc:AlternateContent>
  <xr:revisionPtr revIDLastSave="0" documentId="8_{6275FB8D-1153-448A-9DBF-EB98BDFFDAE7}" xr6:coauthVersionLast="47" xr6:coauthVersionMax="47" xr10:uidLastSave="{00000000-0000-0000-0000-000000000000}"/>
  <bookViews>
    <workbookView xWindow="-60" yWindow="-60" windowWidth="15480" windowHeight="11640" xr2:uid="{00000000-000D-0000-FFFF-FFFF00000000}"/>
  </bookViews>
  <sheets>
    <sheet name="General Instrumento" sheetId="1" r:id="rId1"/>
    <sheet name="Definiciones instrumento" sheetId="2" r:id="rId2"/>
    <sheet name="Matriz Portafolio" sheetId="3" r:id="rId3"/>
    <sheet name="Historias raíz" sheetId="4" r:id="rId4"/>
    <sheet name="I-AD" sheetId="5" r:id="rId5"/>
    <sheet name="I-AEJ" sheetId="6" r:id="rId6"/>
    <sheet name="I-AIL" sheetId="7" r:id="rId7"/>
    <sheet name="I-AJ" sheetId="8" r:id="rId8"/>
    <sheet name="I-AJM" sheetId="9" r:id="rId9"/>
    <sheet name="I-AM" sheetId="10" r:id="rId10"/>
    <sheet name="I-ATE" sheetId="11" r:id="rId11"/>
    <sheet name="I-CDB" sheetId="12" r:id="rId12"/>
    <sheet name="I-CV" sheetId="13" r:id="rId13"/>
    <sheet name="I-CMB" sheetId="14" r:id="rId14"/>
    <sheet name="I-CMV" sheetId="15" r:id="rId15"/>
    <sheet name="I-CA" sheetId="16" r:id="rId16"/>
    <sheet name="I-CCD" sheetId="17" r:id="rId17"/>
    <sheet name="I-DE" sheetId="18" r:id="rId18"/>
    <sheet name="I-ED" sheetId="19" r:id="rId19"/>
    <sheet name="I-EJ" sheetId="20" r:id="rId20"/>
    <sheet name="I-FO" sheetId="21" r:id="rId21"/>
    <sheet name="I-FD" sheetId="22" r:id="rId22"/>
    <sheet name="I-GBR" sheetId="23" r:id="rId23"/>
    <sheet name="I-GBG" sheetId="24" r:id="rId24"/>
    <sheet name="I-HCJ" sheetId="25" r:id="rId25"/>
    <sheet name="I-IAD" sheetId="26" r:id="rId26"/>
    <sheet name="I-IFD" sheetId="27" r:id="rId27"/>
    <sheet name="I-LK" sheetId="28" r:id="rId28"/>
    <sheet name="I-MPR" sheetId="29" r:id="rId29"/>
    <sheet name="I-NBR" sheetId="30" r:id="rId30"/>
    <sheet name="I-OFF" sheetId="31" r:id="rId31"/>
    <sheet name="I-OSO" sheetId="32" r:id="rId32"/>
    <sheet name="H-FCL" sheetId="33" r:id="rId33"/>
    <sheet name="H-ME" sheetId="34" r:id="rId34"/>
    <sheet name="H-R" sheetId="35" r:id="rId35"/>
    <sheet name="B-FI" sheetId="36" r:id="rId36"/>
    <sheet name="B-PCT" sheetId="37" r:id="rId37"/>
    <sheet name="B-TCL" sheetId="38" r:id="rId38"/>
    <sheet name="B-TCI" sheetId="39" r:id="rId39"/>
    <sheet name="M-AFE" sheetId="40" r:id="rId40"/>
    <sheet name="M-AFS" sheetId="41" r:id="rId41"/>
    <sheet name="M-CL" sheetId="42" r:id="rId42"/>
    <sheet name="M-CPL" sheetId="43" r:id="rId43"/>
    <sheet name="M-ExE" sheetId="44" r:id="rId44"/>
    <sheet name="M-LT" sheetId="45" r:id="rId45"/>
    <sheet name="M-NAB" sheetId="46" r:id="rId46"/>
    <sheet name="M-PP" sheetId="47" r:id="rId47"/>
    <sheet name="M-DDF" sheetId="48" r:id="rId48"/>
    <sheet name="Matriz Historias" sheetId="49" r:id="rId49"/>
    <sheet name="Reflexiones" sheetId="50" r:id="rId50"/>
    <sheet name="Formato matriz" sheetId="51" r:id="rId5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1" l="1"/>
  <c r="D31" i="1"/>
  <c r="D30" i="1"/>
  <c r="D29" i="1"/>
  <c r="D28" i="1"/>
  <c r="C27" i="1"/>
  <c r="D27" i="1" s="1"/>
  <c r="E25" i="1"/>
  <c r="D25" i="1"/>
  <c r="D22" i="1"/>
  <c r="D21" i="1"/>
  <c r="H18" i="1"/>
  <c r="D18" i="1"/>
  <c r="H17" i="1"/>
  <c r="D17" i="1"/>
  <c r="H16" i="1"/>
  <c r="D16" i="1"/>
  <c r="H15" i="1"/>
  <c r="D15" i="1"/>
  <c r="E13" i="1"/>
  <c r="D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tc={05070553-d5cd-4ecb-91d8-5f94287fa8c3}</author>
    <author>tc={7f7190c9-7e6c-4383-ab8f-6a63e8993d43}</author>
    <author>tc={0628717f-e0fb-49f2-8e64-a049da91569c}</author>
    <author>tc={f9b14b06-3840-4c0a-a238-0e4f740047d2}</author>
    <author>tc={99d8883a-17cb-4dab-84ca-55f777df0bc9}</author>
  </authors>
  <commentList>
    <comment ref="A1" authorId="0" shapeId="0" xr:uid="{05070553-D5CD-4ECB-91D8-5F94287FA8C3}">
      <text>
        <t>[Threaded comment]
Your version of Excel allows you to read this threaded comment; however, any edits to it will get removed if the file is opened in a newer version of Excel. Learn more: https://go.microsoft.com/fwlink/?linkid=870924
Comment:
    revisar este cambio de qué historia es* (en la pestaña original)</t>
      </text>
    </comment>
    <comment ref="E21" authorId="1" shapeId="0" xr:uid="{7F7190C9-7E6C-4383-AB8F-6A63E8993D43}">
      <text>
        <t>[Threaded comment]
Your version of Excel allows you to read this threaded comment; however, any edits to it will get removed if the file is opened in a newer version of Excel. Learn more: https://go.microsoft.com/fwlink/?linkid=870924
Comment:
    National Advisory Board
Luker (GR + MNZ)
Fortalecimiento de la Intermediación (GOYN B, GOYN BR y generación R) Dani</t>
      </text>
    </comment>
    <comment ref="C31" authorId="2" shapeId="0" xr:uid="{0628717F-E0FB-49F2-8E64-A049DA91569C}">
      <text>
        <t>[Threaded comment]
Your version of Excel allows you to read this threaded comment; however, any edits to it will get removed if the file is opened in a newer version of Excel. Learn more: https://go.microsoft.com/fwlink/?linkid=870924
Comment:
    Confirmar cifra, iniciativas y roles contra audios</t>
      </text>
    </comment>
    <comment ref="E32" authorId="3" shapeId="0" xr:uid="{F9B14B06-3840-4C0A-A238-0E4F740047D2}">
      <text>
        <t>[Threaded comment]
Your version of Excel allows you to read this threaded comment; however, any edits to it will get removed if the file is opened in a newer version of Excel. Learn more: https://go.microsoft.com/fwlink/?linkid=870924
Comment:
    Esto es relevante para el diseño final de criterios de triangulación</t>
      </text>
    </comment>
    <comment ref="B39" authorId="4" shapeId="0" xr:uid="{99D8883A-17CB-4DAB-84CA-55F777DF0BC9}">
      <text>
        <t>[Threaded comment]
Your version of Excel allows you to read this threaded comment; however, any edits to it will get removed if the file is opened in a newer version of Excel. Learn more: https://go.microsoft.com/fwlink/?linkid=870924
Comment:
    Estrictamente hablando esta sesión no es MEL, sino planeación/estrategia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tc={b6a0178d-c3d9-4471-943a-079be0ca06c8}</author>
    <author>tc={abdf557a-1dca-4eba-a081-564db7b7b0a3}</author>
    <author>tc={9f13937c-b532-43d6-b78e-cc851f3518c2}</author>
    <author>tc={6b864de2-9ad0-4dd1-9788-bbcf2e208a2a}</author>
    <author>tc={a8ab5a7d-d35a-4cff-8900-74d566d0682a}</author>
    <author>tc={d5ada565-93b2-4ebe-b4ff-5fea83b4d8f4}</author>
    <author>tc={ff6b1eee-2296-4e0b-87b8-6b2917260371}</author>
    <author>tc={2537cae1-5b3b-45bf-9771-124bca1cf373}</author>
    <author>tc={377946ed-c357-429d-b300-61ea9a8e1898}</author>
  </authors>
  <commentList>
    <comment ref="S18" authorId="0" shapeId="0" xr:uid="{B6A0178D-C3D9-4471-943A-079BE0CA06C8}">
      <text>
        <t>[Threaded comment]
Your version of Excel allows you to read this threaded comment; however, any edits to it will get removed if the file is opened in a newer version of Excel. Learn more: https://go.microsoft.com/fwlink/?linkid=870924
Comment:
    Daniel Uribe y Cami R.</t>
      </text>
    </comment>
    <comment ref="S21" authorId="1" shapeId="0" xr:uid="{ABDF557A-1DCA-4EBA-A081-564DB7B7B0A3}">
      <text>
        <t>[Threaded comment]
Your version of Excel allows you to read this threaded comment; however, any edits to it will get removed if the file is opened in a newer version of Excel. Learn more: https://go.microsoft.com/fwlink/?linkid=870924
Comment:
    Rafa</t>
      </text>
    </comment>
    <comment ref="S28" authorId="2" shapeId="0" xr:uid="{9F13937C-B532-43D6-B78E-CC851F3518C2}">
      <text>
        <t>[Threaded comment]
Your version of Excel allows you to read this threaded comment; however, any edits to it will get removed if the file is opened in a newer version of Excel. Learn more: https://go.microsoft.com/fwlink/?linkid=870924
Comment:
    Rafa</t>
      </text>
    </comment>
    <comment ref="B33" authorId="3" shapeId="0" xr:uid="{6B864DE2-9AD0-4DD1-9788-BBCF2E208A2A}">
      <text>
        <t>[Threaded comment]
Your version of Excel allows you to read this threaded comment; however, any edits to it will get removed if the file is opened in a newer version of Excel. Learn more: https://go.microsoft.com/fwlink/?linkid=870924
Comment:
    Las historias de esta Bolsa ya están en otras iniciativas. Entonces es una bolsa que cuenta para presupuesto, pero no como acción independiente, al menos no por este semestre.</t>
      </text>
    </comment>
    <comment ref="S35" authorId="4" shapeId="0" xr:uid="{A8AB5A7D-D35A-4CFF-8900-74D566D0682A}">
      <text>
        <t>[Threaded comment]
Your version of Excel allows you to read this threaded comment; however, any edits to it will get removed if the file is opened in a newer version of Excel. Learn more: https://go.microsoft.com/fwlink/?linkid=870924
Comment:
    Tatiana</t>
      </text>
    </comment>
    <comment ref="S38" authorId="5" shapeId="0" xr:uid="{D5ADA565-93B2-4EBE-B4FF-5FEA83B4D8F4}">
      <text>
        <t>[Threaded comment]
Your version of Excel allows you to read this threaded comment; however, any edits to it will get removed if the file is opened in a newer version of Excel. Learn more: https://go.microsoft.com/fwlink/?linkid=870924
Comment:
    Rafa</t>
      </text>
    </comment>
    <comment ref="S41" authorId="6" shapeId="0" xr:uid="{FF6B1EEE-2296-4E0B-87B8-6B2917260371}">
      <text>
        <t>[Threaded comment]
Your version of Excel allows you to read this threaded comment; however, any edits to it will get removed if the file is opened in a newer version of Excel. Learn more: https://go.microsoft.com/fwlink/?linkid=870924
Comment:
    Rafa</t>
      </text>
    </comment>
    <comment ref="S42" authorId="7" shapeId="0" xr:uid="{2537CAE1-5B3B-45BF-9771-124BCA1CF373}">
      <text>
        <t>[Threaded comment]
Your version of Excel allows you to read this threaded comment; however, any edits to it will get removed if the file is opened in a newer version of Excel. Learn more: https://go.microsoft.com/fwlink/?linkid=870924
Comment:
    Daniel Uribe y Rafa</t>
      </text>
    </comment>
    <comment ref="B45" authorId="8" shapeId="0" xr:uid="{377946ED-C357-429D-B300-61EA9A8E1898}">
      <text>
        <t>[Threaded comment]
Your version of Excel allows you to read this threaded comment; however, any edits to it will get removed if the file is opened in a newer version of Excel. Learn more: https://go.microsoft.com/fwlink/?linkid=870924
Comment:
    La agregó Joha en la ultima revisión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tc={d6087b84-6c56-4e68-8a8b-b18af67c2247}</author>
  </authors>
  <commentList>
    <comment ref="A17" authorId="0" shapeId="0" xr:uid="{D6087B84-6C56-4E68-8A8B-B18AF67C2247}">
      <text>
        <t>[Threaded comment]
Your version of Excel allows you to read this threaded comment; however, any edits to it will get removed if the file is opened in a newer version of Excel. Learn more: https://go.microsoft.com/fwlink/?linkid=870924
Comment:
    Es la misma de GOYN Bog 07</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tc={16897057-88e0-47f2-b8ed-2d3186ff49a4}</author>
  </authors>
  <commentList>
    <comment ref="D3" authorId="0" shapeId="0" xr:uid="{16897057-88E0-47F2-B8ED-2D3186FF49A4}">
      <text>
        <t>[Threaded comment]
Your version of Excel allows you to read this threaded comment; however, any edits to it will get removed if the file is opened in a newer version of Excel. Learn more: https://go.microsoft.com/fwlink/?linkid=870924
Comment:
    Paulo puso su pin acá cuando tomó apuntes. revisar</t>
      </text>
    </comment>
  </commentList>
</comments>
</file>

<file path=xl/sharedStrings.xml><?xml version="1.0" encoding="utf-8"?>
<sst xmlns="http://schemas.openxmlformats.org/spreadsheetml/2006/main" count="3255" uniqueCount="943">
  <si>
    <t>https://www.canva.com/design/DAHO_eQq6cA/9nhlHTwuhboRdBm_UUl5LA/edit</t>
  </si>
  <si>
    <t>Portafolio dividido según 4 tipos de transformaciones: existen oportunidades más equitativas, pertinentes, suficientes y aprovechadas para la juventud</t>
  </si>
  <si>
    <t>De empleo</t>
  </si>
  <si>
    <t>De educación</t>
  </si>
  <si>
    <t>Libre elección</t>
  </si>
  <si>
    <t>Incidencia</t>
  </si>
  <si>
    <t xml:space="preserve">4 gerencias (misionales) trabajando alrededor del portafolio: </t>
  </si>
  <si>
    <t xml:space="preserve">Transversales: </t>
  </si>
  <si>
    <t>A&amp;A</t>
  </si>
  <si>
    <t>TC</t>
  </si>
  <si>
    <t xml:space="preserve">Área de oportunidad: </t>
  </si>
  <si>
    <t>E&amp;E</t>
  </si>
  <si>
    <t>I&amp;LE</t>
  </si>
  <si>
    <t>44 Mecanismos de acción (iniciativas)</t>
  </si>
  <si>
    <t>41 Mecanismos de acción (iniciativas)</t>
  </si>
  <si>
    <t>Iniciativas</t>
  </si>
  <si>
    <t>Herramientas</t>
  </si>
  <si>
    <t>Bolsas</t>
  </si>
  <si>
    <t>Membresías</t>
  </si>
  <si>
    <t xml:space="preserve">Microhistorias de: </t>
  </si>
  <si>
    <t>Mecanismos</t>
  </si>
  <si>
    <t>Solo faltó NAB</t>
  </si>
  <si>
    <t>Mecanismos con historias</t>
  </si>
  <si>
    <t>NAB, Bolsas: TCI y Fortalecimiento</t>
  </si>
  <si>
    <t>Triangulación de:</t>
  </si>
  <si>
    <t xml:space="preserve">Criterios para triangulación: </t>
  </si>
  <si>
    <t>Fuentes (personas)</t>
  </si>
  <si>
    <t>Gerentes FC</t>
  </si>
  <si>
    <t>Equipos FC</t>
  </si>
  <si>
    <t>Dirección iniciativas</t>
  </si>
  <si>
    <t>Equipos Iniciativas</t>
  </si>
  <si>
    <t xml:space="preserve">Aliados de las Iniciativas </t>
  </si>
  <si>
    <t xml:space="preserve">(1 administrador/3 fundadores/2 aliados) Esto es relevante por el tipo de perspectiva que aportan por sus sesgos y por la calidad de la evidencia. </t>
  </si>
  <si>
    <t>1 Ejercicio con jóvenes</t>
  </si>
  <si>
    <t>Balance horas MEL (en piloto implementación)</t>
  </si>
  <si>
    <t>Generar información (proyectada)</t>
  </si>
  <si>
    <t>Sense making participativo</t>
  </si>
  <si>
    <t>Validaciones</t>
  </si>
  <si>
    <t>Adaptación (planeación)</t>
  </si>
  <si>
    <r>
      <rPr>
        <b/>
        <sz val="11"/>
        <color theme="1"/>
        <rFont val="Arial"/>
      </rPr>
      <t>Matriz de micro-historias</t>
    </r>
    <r>
      <rPr>
        <sz val="11"/>
        <color theme="1"/>
        <rFont val="Arial"/>
      </rPr>
      <t xml:space="preserve"> (8 horas en grupos: 4 sesiones de 2h con c/grupo) + 10 horas para revisón individual (entre 1hora a 2horas con cada persona) (falta aún Cami y Tati)--- (No contamos tiempo de audios que suma 40min aprox)
TOTAL: 20</t>
    </r>
  </si>
  <si>
    <t>1-2 horas por persona decada equipo</t>
  </si>
  <si>
    <r>
      <rPr>
        <b/>
        <sz val="11"/>
        <color theme="1"/>
        <rFont val="Arial"/>
      </rPr>
      <t>Triangulación</t>
    </r>
    <r>
      <rPr>
        <sz val="11"/>
        <color theme="1"/>
        <rFont val="Arial"/>
      </rPr>
      <t xml:space="preserve"> (micro-historias) 14 horas</t>
    </r>
  </si>
  <si>
    <t>1 hora por persona</t>
  </si>
  <si>
    <r>
      <rPr>
        <b/>
        <sz val="11"/>
        <color theme="1"/>
        <rFont val="Arial"/>
      </rPr>
      <t>Sesión de balance</t>
    </r>
    <r>
      <rPr>
        <sz val="11"/>
        <color theme="1"/>
        <rFont val="Arial"/>
      </rPr>
      <t xml:space="preserve"> (6 horas) </t>
    </r>
  </si>
  <si>
    <t>1 jornada</t>
  </si>
  <si>
    <r>
      <rPr>
        <b/>
        <sz val="11"/>
        <color theme="1"/>
        <rFont val="Arial"/>
      </rPr>
      <t>Sense making colectivo</t>
    </r>
    <r>
      <rPr>
        <sz val="11"/>
        <color theme="1"/>
        <rFont val="Arial"/>
      </rPr>
      <t xml:space="preserve"> (3 horas)</t>
    </r>
  </si>
  <si>
    <t>8 horas (dos medias jornadas mínimo)</t>
  </si>
  <si>
    <t>Balances con Consejo</t>
  </si>
  <si>
    <t>2 horas</t>
  </si>
  <si>
    <t>Sesiones internas de gerencias para adaptar/aprender</t>
  </si>
  <si>
    <t>2 medias jornadas</t>
  </si>
  <si>
    <t>Por persona FC misional: 2 horas (individual)</t>
  </si>
  <si>
    <t>En sesiones grupales por persona (balance; sensemaking; interna de gerenciasx2; prueba de estrategia; planeación): 8+8+8+4+4+8= 40 anual</t>
  </si>
  <si>
    <t>Consejo: (8 anuales)</t>
  </si>
  <si>
    <t>Aliados: 1 hora (virtual triangulación) pendiente validación/análisis</t>
  </si>
  <si>
    <t>Juventudes</t>
  </si>
  <si>
    <r>
      <rPr>
        <b/>
        <sz val="10"/>
        <color rgb="FF000000"/>
        <rFont val="Arial"/>
      </rPr>
      <t>Una historia es</t>
    </r>
    <r>
      <rPr>
        <sz val="10"/>
        <color rgb="FF000000"/>
        <rFont val="Arial"/>
      </rPr>
      <t xml:space="preserve"> una experiencia que inicia por una acción realizada por la fundación en el marco de una iniciativa; o realizada por la iniciativa. Esta es la unidad mínima de la historia. 
La historia, tiene un código asignado. 
Un mismo código de historia, no obstante, puede agrupar más de una acción, siempre y cuando éstas hayan estado articuladas entre sí. Es decir, si es difícil señalar una secuencialidad clara temporal entre ellas o una línea clara de inicio y fin entre la una y la otra. También puede recoger acciones que llevan a un mismo efecto. Así mismo, puede agrupar los diferentes efectos de una misma acción. 
No obstante, si es posible diferenciar claramente las acciones dentro de una misma iniciativa, se recomienda generar códigos para dos historias. 
Dado que las historias tienen un lugar espacial en la matriz, siempre se procura ubicar la acción (o acciones) en el eje correspondiente del efecto que generan o buscan generar (cambio). En ocaciones será difícil, por ello hay casillas sin eje asignado en cambio para esos casos raros.  
Lo anterior implica que las historias no se generan a partir de cambios, sino a partir de acciones, y luego bajo éstas se mencionan los cambios (a manera de efectos que las acciones generaron). No puede haber cambios sin acciones. 
La ubicación de la historia es sólo del efecto de su acción u acciones, no de la iniciativa. 
</t>
    </r>
  </si>
  <si>
    <r>
      <rPr>
        <b/>
        <sz val="11"/>
        <color theme="1"/>
        <rFont val="Arial"/>
      </rPr>
      <t xml:space="preserve">Criterios de calidad de la evidencia priorizados: </t>
    </r>
    <r>
      <rPr>
        <sz val="11"/>
        <color theme="1"/>
        <rFont val="Arial"/>
      </rPr>
      <t xml:space="preserve">
- </t>
    </r>
    <r>
      <rPr>
        <b/>
        <sz val="11"/>
        <color theme="1"/>
        <rFont val="Arial"/>
      </rPr>
      <t>Triangulación de perspectivas</t>
    </r>
    <r>
      <rPr>
        <sz val="11"/>
        <color theme="1"/>
        <rFont val="Arial"/>
      </rPr>
      <t xml:space="preserve">: El alcance narrativo no depende únicamente de la autodeclaración del equipo de la Fundación, sino que combina la voz de los actores beneficiados, aliados o terceros verificadores.  
- </t>
    </r>
    <r>
      <rPr>
        <b/>
        <sz val="11"/>
        <color theme="1"/>
        <rFont val="Arial"/>
      </rPr>
      <t>Plausibilidad Causal</t>
    </r>
    <r>
      <rPr>
        <sz val="11"/>
        <color theme="1"/>
        <rFont val="Arial"/>
      </rPr>
      <t>: La historia explica con claridad lógica y sin "saltos fe" cómo las acciones de la Fundación o la iniciativa activaron los mecanismos que llevaron al cambio en el socio de frontera. 
Para calificar la calidad de las microhistorias: Robustez y calidad de la evidencia narrativa: 
1.</t>
    </r>
    <r>
      <rPr>
        <sz val="11"/>
        <color rgb="FF980000"/>
        <rFont val="Arial"/>
      </rPr>
      <t xml:space="preserve"> Incipiente</t>
    </r>
    <r>
      <rPr>
        <sz val="11"/>
        <color theme="1"/>
        <rFont val="Arial"/>
      </rPr>
      <t xml:space="preserve">: Alcance relatado únicamente por el equipo implementador. Describe una percepción general sin citar fuentes concretas o eventos específicos.
2. </t>
    </r>
    <r>
      <rPr>
        <sz val="11"/>
        <color rgb="FF980000"/>
        <rFont val="Arial"/>
      </rPr>
      <t>Plausible</t>
    </r>
    <r>
      <rPr>
        <sz val="11"/>
        <color theme="1"/>
        <rFont val="Arial"/>
      </rPr>
      <t xml:space="preserve">: El alcance cuenta con una descripción precisa (Quién, Qué, Cuándo, Dónde). 
3. </t>
    </r>
    <r>
      <rPr>
        <sz val="11"/>
        <color rgb="FF980000"/>
        <rFont val="Arial"/>
      </rPr>
      <t>Sustentada</t>
    </r>
    <r>
      <rPr>
        <sz val="11"/>
        <color theme="1"/>
        <rFont val="Arial"/>
      </rPr>
      <t xml:space="preserve">: Incluye al menos una fuente de verificación externa (documento, acta, vacante publicada, testimonio grabado).
4. </t>
    </r>
    <r>
      <rPr>
        <sz val="11"/>
        <color rgb="FF980000"/>
        <rFont val="Arial"/>
      </rPr>
      <t>Triangulada</t>
    </r>
    <r>
      <rPr>
        <sz val="11"/>
        <color theme="1"/>
        <rFont val="Arial"/>
      </rPr>
      <t>:  El alcance está validado por un actor. El socio de frontera directo o personas involucradas. 
5</t>
    </r>
    <r>
      <rPr>
        <sz val="11"/>
        <color rgb="FF980000"/>
        <rFont val="Arial"/>
      </rPr>
      <t>. Corroborada</t>
    </r>
    <r>
      <rPr>
        <sz val="11"/>
        <color theme="1"/>
        <rFont val="Arial"/>
      </rPr>
      <t xml:space="preserve">: El alcance está validado por un actor tercero. Independiente (no socio, no beneficiario). 
Se han analizado factores del contexto (explicaciones alternativas y/o mediciones de terceros).
- </t>
    </r>
    <r>
      <rPr>
        <b/>
        <sz val="11"/>
        <color theme="1"/>
        <rFont val="Arial"/>
      </rPr>
      <t>Transferabilida</t>
    </r>
    <r>
      <rPr>
        <sz val="11"/>
        <color theme="1"/>
        <rFont val="Arial"/>
      </rPr>
      <t xml:space="preserve">d: implica que la narrativa reconoce abiertamente qué otros factores del contexto (políticos, económicos, de otros actores) influyeron en el resultado y demuestra por qué la contribución de la Fundación fue una pieza necesaria dentro de esa combinación.  De modo que puedan extrapolarse patrones y aprendizajes. (INUS). 
</t>
    </r>
    <r>
      <rPr>
        <b/>
        <sz val="11"/>
        <color theme="1"/>
        <rFont val="Arial"/>
      </rPr>
      <t xml:space="preserve">  
Transparencia de la Fuente y Trazabilidad</t>
    </r>
    <r>
      <rPr>
        <sz val="11"/>
        <color theme="1"/>
        <rFont val="Arial"/>
      </rPr>
      <t xml:space="preserve">: Existe claridad sobre quién contó la historia, cómo se recolectó y dónde reposan las evidencias físicas o documentales que la respaldan.  </t>
    </r>
  </si>
  <si>
    <r>
      <rPr>
        <b/>
        <sz val="11"/>
        <color rgb="FF6AA84F"/>
        <rFont val="Arial"/>
      </rPr>
      <t xml:space="preserve">EC- EJEMPLO DE CAMBIO: </t>
    </r>
    <r>
      <rPr>
        <sz val="11"/>
        <color rgb="FF6AA84F"/>
        <rFont val="Arial"/>
      </rPr>
      <t xml:space="preserve">En verde: historias cuyas acciones reportan efectos que ya en sí mismos constituyen un ejemplo del tipo de cambios que se busca.
</t>
    </r>
    <r>
      <rPr>
        <sz val="11"/>
        <color rgb="FFBF9000"/>
        <rFont val="Arial"/>
      </rPr>
      <t xml:space="preserve">BC- SEÑAL de BUEN CAMINO: En amarillo, historias cuyas acciones ya tienen efectos que son buenas señales de inicio del cambio: progreso.
</t>
    </r>
    <r>
      <rPr>
        <sz val="11"/>
        <color rgb="FFC00000"/>
        <rFont val="Arial"/>
      </rPr>
      <t xml:space="preserve">EE- EFECTO ESTANCADO: En rojo: historias cuyas acciones se consideran fallidas. Es decir, lo que se ha hecho no ha logrado generar el efecto deseado.
</t>
    </r>
    <r>
      <rPr>
        <sz val="11"/>
        <color rgb="FF3C78D8"/>
        <rFont val="Arial"/>
      </rPr>
      <t>IC- INTENCIÓN DE CAMBIO: En azul, historias cuyas acciones que buscan un efecto coherente con el cambio, pero aún no ha sucedido. Se tiene la intención.</t>
    </r>
  </si>
  <si>
    <t>Código para nombrar historias</t>
  </si>
  <si>
    <t xml:space="preserve">1. </t>
  </si>
  <si>
    <t xml:space="preserve">Tipo de Mecanismo </t>
  </si>
  <si>
    <t>Iniciativa</t>
  </si>
  <si>
    <t>I</t>
  </si>
  <si>
    <t>Herramienta</t>
  </si>
  <si>
    <t>H</t>
  </si>
  <si>
    <t>Bolsa</t>
  </si>
  <si>
    <t>B</t>
  </si>
  <si>
    <t>Membresía</t>
  </si>
  <si>
    <t>M</t>
  </si>
  <si>
    <t xml:space="preserve">2. </t>
  </si>
  <si>
    <t>Nombre del mecanismo</t>
  </si>
  <si>
    <t>Ver lista de 44 nombres en hoja: Matriz portafolio</t>
  </si>
  <si>
    <t>3.</t>
  </si>
  <si>
    <t xml:space="preserve">Número de la microhistoria </t>
  </si>
  <si>
    <t xml:space="preserve">4. </t>
  </si>
  <si>
    <t>Iniciales de área responsable</t>
  </si>
  <si>
    <t>ED</t>
  </si>
  <si>
    <t>Educación</t>
  </si>
  <si>
    <t>EM</t>
  </si>
  <si>
    <t>Empleo</t>
  </si>
  <si>
    <t>LE</t>
  </si>
  <si>
    <t>IN</t>
  </si>
  <si>
    <t>AA</t>
  </si>
  <si>
    <t>Aprendizaje y Adaptación</t>
  </si>
  <si>
    <t>Transformación Cultural</t>
  </si>
  <si>
    <t>CC</t>
  </si>
  <si>
    <t>Comunicaciones</t>
  </si>
  <si>
    <t>DE</t>
  </si>
  <si>
    <t>Dirección ejecutiva</t>
  </si>
  <si>
    <t>SA</t>
  </si>
  <si>
    <t>Servicios administrativos</t>
  </si>
  <si>
    <t xml:space="preserve">5. </t>
  </si>
  <si>
    <t xml:space="preserve">Iniciales de la fuente: </t>
  </si>
  <si>
    <t>FC</t>
  </si>
  <si>
    <t>Equipo FC</t>
  </si>
  <si>
    <t>Equipo Iniciativa</t>
  </si>
  <si>
    <t>A</t>
  </si>
  <si>
    <t>Aliado</t>
  </si>
  <si>
    <t>Beneficiario</t>
  </si>
  <si>
    <t>O</t>
  </si>
  <si>
    <t>Otro</t>
  </si>
  <si>
    <t xml:space="preserve">Ej: </t>
  </si>
  <si>
    <t>I-AD-01-LE-FC</t>
  </si>
  <si>
    <t xml:space="preserve">Código de nodos de las historias: </t>
  </si>
  <si>
    <t>Tipo de efecto reportado:</t>
  </si>
  <si>
    <t xml:space="preserve">EC
</t>
  </si>
  <si>
    <t>Ejemplo de cambio</t>
  </si>
  <si>
    <t>BC</t>
  </si>
  <si>
    <t>Buen camino</t>
  </si>
  <si>
    <t>IC</t>
  </si>
  <si>
    <t>Intención de cambio</t>
  </si>
  <si>
    <t>EE</t>
  </si>
  <si>
    <t>Efecto estancado</t>
  </si>
  <si>
    <t>#</t>
  </si>
  <si>
    <t>Mecanismo de acción</t>
  </si>
  <si>
    <t>Nombre</t>
  </si>
  <si>
    <t>Aporta a empleo</t>
  </si>
  <si>
    <t>Aporta a educación</t>
  </si>
  <si>
    <t>Aporta a transversal</t>
  </si>
  <si>
    <t>Aporta a LE</t>
  </si>
  <si>
    <t>Aporta a incidencia</t>
  </si>
  <si>
    <t>Tipo</t>
  </si>
  <si>
    <t>Oportunidad a la que más aporta</t>
  </si>
  <si>
    <t>Administrada</t>
  </si>
  <si>
    <t>Alcance</t>
  </si>
  <si>
    <t>Foco</t>
  </si>
  <si>
    <t>Antigüedad</t>
  </si>
  <si>
    <t>Aliados</t>
  </si>
  <si>
    <t>Presupuesto 2026</t>
  </si>
  <si>
    <t>Recursos apalancados 2026</t>
  </si>
  <si>
    <t>Fuente principal FC</t>
  </si>
  <si>
    <t>Estado de reporte</t>
  </si>
  <si>
    <t>Triangulada</t>
  </si>
  <si>
    <t>Alianza por la Democracia</t>
  </si>
  <si>
    <t>AD</t>
  </si>
  <si>
    <t>$ 200.000.000</t>
  </si>
  <si>
    <t>Armando</t>
  </si>
  <si>
    <t>ok</t>
  </si>
  <si>
    <t>Alianza por el empleo joven - Latimpacto - Anglo</t>
  </si>
  <si>
    <t>AEJ</t>
  </si>
  <si>
    <t>No administrada</t>
  </si>
  <si>
    <t>Daniela R</t>
  </si>
  <si>
    <t>Alianza por la Inclusión Laboral</t>
  </si>
  <si>
    <t>AIL</t>
  </si>
  <si>
    <t>$ 120.000.000</t>
  </si>
  <si>
    <t>$ 333.000.000</t>
  </si>
  <si>
    <t>Johana</t>
  </si>
  <si>
    <t>Alianza por la Juventud</t>
  </si>
  <si>
    <t>AJ</t>
  </si>
  <si>
    <t>$ 50.000.000</t>
  </si>
  <si>
    <t>$ 30.000.000</t>
  </si>
  <si>
    <t xml:space="preserve">Cami R. </t>
  </si>
  <si>
    <t>Asamblea Juvenil - Manizales</t>
  </si>
  <si>
    <t>AJM</t>
  </si>
  <si>
    <t>Aprender Más</t>
  </si>
  <si>
    <t>AM</t>
  </si>
  <si>
    <t>$ 80.000.000</t>
  </si>
  <si>
    <t>$ 720.000.000</t>
  </si>
  <si>
    <t xml:space="preserve">Laura </t>
  </si>
  <si>
    <t>ATEM</t>
  </si>
  <si>
    <t>ATE</t>
  </si>
  <si>
    <t>$ 250.000.000</t>
  </si>
  <si>
    <t>$ 2.722.825.600</t>
  </si>
  <si>
    <t>Rafael</t>
  </si>
  <si>
    <t>Ciclos Deliberativos - Bogotá</t>
  </si>
  <si>
    <t>CDB</t>
  </si>
  <si>
    <t>$ 20.000.000</t>
  </si>
  <si>
    <t>$ 1.030.855.324</t>
  </si>
  <si>
    <t>Cómo Vamos</t>
  </si>
  <si>
    <t>CV</t>
  </si>
  <si>
    <t>Transv</t>
  </si>
  <si>
    <t>$ 410.000.000</t>
  </si>
  <si>
    <t>$ 257.200.000</t>
  </si>
  <si>
    <t>Cami R.</t>
  </si>
  <si>
    <t>Compromiso Bogotá</t>
  </si>
  <si>
    <t>CMB</t>
  </si>
  <si>
    <t>$ 40.000.000</t>
  </si>
  <si>
    <t>$ 350.000.000</t>
  </si>
  <si>
    <t>Tatiana</t>
  </si>
  <si>
    <t>Compromiso Valle</t>
  </si>
  <si>
    <t>CMV</t>
  </si>
  <si>
    <t>Congreso Abierto</t>
  </si>
  <si>
    <t>CA</t>
  </si>
  <si>
    <t>Consejo Cuidado Digital</t>
  </si>
  <si>
    <t>CCD</t>
  </si>
  <si>
    <t>Desinformación Electoral</t>
  </si>
  <si>
    <t>$ 57.200.000</t>
  </si>
  <si>
    <t>Educación Democrática</t>
  </si>
  <si>
    <t>$ -</t>
  </si>
  <si>
    <t>Estrategia Juventudes - Yumbo</t>
  </si>
  <si>
    <t>EJ</t>
  </si>
  <si>
    <t>$ 100.000.000</t>
  </si>
  <si>
    <t xml:space="preserve">Cami R.? </t>
  </si>
  <si>
    <t xml:space="preserve">Daniel U. </t>
  </si>
  <si>
    <t>National advisory Board</t>
  </si>
  <si>
    <t>Fondo Oriri</t>
  </si>
  <si>
    <t>FO</t>
  </si>
  <si>
    <t>$ 5.000.000.000</t>
  </si>
  <si>
    <t>Joha</t>
  </si>
  <si>
    <t>Fondo oriri</t>
  </si>
  <si>
    <t xml:space="preserve">Formación Dual </t>
  </si>
  <si>
    <t>FD</t>
  </si>
  <si>
    <t>Rafa</t>
  </si>
  <si>
    <t>GOYN</t>
  </si>
  <si>
    <t>GOYN Barranquilla</t>
  </si>
  <si>
    <t>GBR</t>
  </si>
  <si>
    <t>$ 1.798.631.681</t>
  </si>
  <si>
    <t>Offer</t>
  </si>
  <si>
    <t>GOYN Bogotá</t>
  </si>
  <si>
    <t>GBG</t>
  </si>
  <si>
    <t>$ 60.000.000</t>
  </si>
  <si>
    <t>$ 4.428.197.402</t>
  </si>
  <si>
    <t>Laura R</t>
  </si>
  <si>
    <t>AFSEC</t>
  </si>
  <si>
    <t>Hub Conexión Juvenil</t>
  </si>
  <si>
    <t>HCJ</t>
  </si>
  <si>
    <t>$ 774.000.000</t>
  </si>
  <si>
    <t>Natalia</t>
  </si>
  <si>
    <t>EXE</t>
  </si>
  <si>
    <t>IA y Democracia</t>
  </si>
  <si>
    <t>IAD</t>
  </si>
  <si>
    <t>Latimpacto</t>
  </si>
  <si>
    <t>Innovación Financiera para Democracia</t>
  </si>
  <si>
    <t>IFD</t>
  </si>
  <si>
    <t>Cami</t>
  </si>
  <si>
    <t>8!</t>
  </si>
  <si>
    <t>Luker (GR + MNZ)</t>
  </si>
  <si>
    <t>LK</t>
  </si>
  <si>
    <t>$ 64.166.667</t>
  </si>
  <si>
    <t>Tati</t>
  </si>
  <si>
    <t>CB</t>
  </si>
  <si>
    <t>MÁS Pago por Resultados</t>
  </si>
  <si>
    <t>MPR</t>
  </si>
  <si>
    <t>$ 2.960.000.000</t>
  </si>
  <si>
    <t>Cami R</t>
  </si>
  <si>
    <t>PP</t>
  </si>
  <si>
    <t>Nuestra Barranquilla</t>
  </si>
  <si>
    <t>NBR</t>
  </si>
  <si>
    <t>$ 4.677.061.896</t>
  </si>
  <si>
    <t>OFFER</t>
  </si>
  <si>
    <t>OFF</t>
  </si>
  <si>
    <t>$ 240.000.000</t>
  </si>
  <si>
    <t>$ 1.500.000.000</t>
  </si>
  <si>
    <t>OSO</t>
  </si>
  <si>
    <t>I-OSO</t>
  </si>
  <si>
    <t>Fortalecimiento de Competencias de liderazgo e innovación pública</t>
  </si>
  <si>
    <t>FCL</t>
  </si>
  <si>
    <t>Match Electoral</t>
  </si>
  <si>
    <t>ME</t>
  </si>
  <si>
    <t>Recarga</t>
  </si>
  <si>
    <t>R</t>
  </si>
  <si>
    <t>Lau</t>
  </si>
  <si>
    <t xml:space="preserve">Fortalecimiento de la Intermediación (GOYN B (fondo quiero ser digital), GOYN BR (iniciativa del puerto Modelo Santa María de la Real: Lanzaderas y la Cayena) y Generación R (en su linea de empleo: entender cómo fortalecer el sistema de intermediarios y exploración de piloto Lanzaderas) </t>
  </si>
  <si>
    <t>FI</t>
  </si>
  <si>
    <t>$ 75.000.000</t>
  </si>
  <si>
    <t>Productividad / Corona - Transición energética</t>
  </si>
  <si>
    <t>PCT</t>
  </si>
  <si>
    <t>Transformación Cultural de Libre Elección</t>
  </si>
  <si>
    <t>TCL</t>
  </si>
  <si>
    <t>$ 130.000.000</t>
  </si>
  <si>
    <t>Transformación Cultural en Incidencia</t>
  </si>
  <si>
    <t>TCI</t>
  </si>
  <si>
    <t>AFE</t>
  </si>
  <si>
    <t>AFS</t>
  </si>
  <si>
    <t>$ 10.000.000</t>
  </si>
  <si>
    <t>$ 334.000.000</t>
  </si>
  <si>
    <t>Colombia Líder</t>
  </si>
  <si>
    <t>CL</t>
  </si>
  <si>
    <t>$ 65.000.000</t>
  </si>
  <si>
    <t>$ 433.443.961</t>
  </si>
  <si>
    <t>Comunidad de Práctica de Liderazgo Colaborativo</t>
  </si>
  <si>
    <t>CPL</t>
  </si>
  <si>
    <t>ExE</t>
  </si>
  <si>
    <t>LT</t>
  </si>
  <si>
    <t>National Advisory Board</t>
  </si>
  <si>
    <t>NAB</t>
  </si>
  <si>
    <t>People Powered</t>
  </si>
  <si>
    <t>Diálogos De Futuro</t>
  </si>
  <si>
    <t>DDF</t>
  </si>
  <si>
    <t xml:space="preserve">Actores del ecosistema crearon contenidos orgánicos para promover confianza en el proceso electoral y desecalar el tono entre la ciudadanía. Lo anterior, con base en el Contenedor Narrativo cocreado.  </t>
  </si>
  <si>
    <t>I-AD-02-LE-FC</t>
  </si>
  <si>
    <t xml:space="preserve">Conversaciones "La Colombia que soñamos" (CIVIX+MOV+FC). Alrededor de 40 jóvenes sostuvieron conversaciones sobre las cosas que nos unen como colombianos y no en lo que nos diferencia, con la finalidad de desecalar la violencia verbal en la campaña electoral que permitió aplicar el contenedor narrativo creado con la AxD. (testimonios de los chicos)  </t>
  </si>
  <si>
    <t>I-AD-03-LE-FC</t>
  </si>
  <si>
    <t>En la alianza se generaron estudios, documentos, etc. que buscan el entendimiento del Estado de la Democracia en Colombia</t>
  </si>
  <si>
    <t>I-AD-04-LE-FC</t>
  </si>
  <si>
    <t xml:space="preserve">Conversaciones constantes con los aliados que resultaban en comunicados conjuntos. Se generó confianza en el proceso electoral. Se buscaba que no se incendiara el país y que se aceptaran resultados. Que el presidente aceptara los resultados. Que se respetara la registraduría. </t>
  </si>
  <si>
    <t>I-AD-05-LE-FC</t>
  </si>
  <si>
    <t xml:space="preserve">Monitoreo de desinformación y narrativas antidemocráticas con la MOE.  Financiamos la estrategia de la MOE. Generó una herramienta que. La información se entregaba                                                                                                                                                                                         </t>
  </si>
  <si>
    <t>I-AD-06-LE-FC</t>
  </si>
  <si>
    <t xml:space="preserve">Se creó campaña digital para promover el desecalamiento del tono en el proceso electoral, a través de contenidos digitales, pronunciamientos públicos y estrategias análogas con los aliados de la AxD. .  </t>
  </si>
  <si>
    <t>I-AD-07-LE-FC</t>
  </si>
  <si>
    <t xml:space="preserve">Se creó campaña digital sobre respeto a las reglas electorales con la AxD, la cual se desplegó en la primera y segunda vuelta presidencial por parte de los diferentes aliados.  </t>
  </si>
  <si>
    <t>I-AD-08-LE-FC</t>
  </si>
  <si>
    <t xml:space="preserve">Se creó campaña digital de Movilización del voto juvenil que se desplegó desde FC+Iniciativas y que se puso a disposición de todos los aliados de la AxD, apelando al futuro y agendas de interés de la juventud.  </t>
  </si>
  <si>
    <t>I-AD-09-LE-FC</t>
  </si>
  <si>
    <t xml:space="preserve">Se crearon herramientas para generar creencias habilitantes: Contendor narrativo: para desescalar el tono; para promover confianza en el proceso electoral y para movilizar el voto juvenil (este fue de la fundación+iniciativas) no de la alianza. Actores del ecosistema crearon contenidos orgánicos para promover confianza en el proceso electoral y desecalar el tono entre la ciudadanía. Lo anterior, con base en el Contenedor Narrativo cocreado.   Algunos se unieron para crear contenidos: Civix: El país que soñamos; movilizatorio: el país que compartimos; yo respeto las reglas de juego (con la SE de la Alianza)                                                                                                                                                                              </t>
  </si>
  <si>
    <t>I-AEJ-01-EM-FC</t>
  </si>
  <si>
    <t xml:space="preserve">Lo que buscamos es el diseño y apropiación de incentivos para que empresas generen empleos nuevos. Fomentamos acciones colectivas: empresas y productividad: con fundación anglo american, la cámara de comercio de cali, promigas, bancolombia. estamos analizando la relación entre empleo joven y productividad de empresas y queremos diseñar un instrumento de innovación financiera y ver resultados específicos asociados a empleo. mejor uso de recursos. Evaluar un modelo de innovacíon financiera para que empresas generen contratación.                                                                                                                                                                                        </t>
  </si>
  <si>
    <t>I-AEJ-02-EM-FC</t>
  </si>
  <si>
    <t xml:space="preserve">Se conceptualiza la productividad para poder nutrir a "transición energética" y a "formación dual". Trae dudas sobre alcance, expertise...  Esta información se va a usar para el diseño del incentivo y para formación dual (relación productividad y talento humano). Somos muchos, porque no pretendemos hacer el conocimiento para nosotros, sino para actores que la usen (por partes). Los actores que están tienen un rol en la oportunidad. Latimpacto, y angloamerican, con mirada en replica LATAM. </t>
  </si>
  <si>
    <t>I-AIL-01-EM-FC</t>
  </si>
  <si>
    <t xml:space="preserve">La alianza ha producido tres policy briefs: formación posmedia, informalidad y reforma laboral. Siempre con enfoque diferencial. No somos productores de datos, se usan datos de terceros. Se procesa la info y se le agrega valor. No se ha logrado que sea más incidente. Hay entidades como xxxxx que hacen referencia a la información que se genera. Puede que no haya apetito para sostener lo que la Alianza hace. </t>
  </si>
  <si>
    <t>I-AIL-02-EM-FC</t>
  </si>
  <si>
    <t xml:space="preserve">La Alianza generó un tablero de datos de mercado laboral y demográficos. El tablero fue una idea del equipo de la FC. Para crear conocimiento procesado para entender brechas de inclusión. Para generar conocimiento del sistema. Es una herramienta de gesco y la usan los aliados. Sabemos quiénes la usan (Includere) y hay evidencia. Una empresa no va a usarlo. Es un instrumento muy académico y aún falta información y procesarla. Los aliados lo usan y algunas menciones de free press. </t>
  </si>
  <si>
    <t>I-AJ-01-LE-FC</t>
  </si>
  <si>
    <t xml:space="preserve">Desarrollo de una plataforma con todo lo necesario para que la juventud participe. Una plataforma construida con y para jóvenes de toda Colombia.  Estrategia de corto, mediano y largo plazo de la plataforma, para garantizar que vaya más allá de ser un repositorio de información, para convertirlo en un punto útil para la libre elección e incidencia real de la juventud, donde se visualizan las agendas e intereses de la juventud sobre temas y áreas de política pública. La plataforna no se ha lanzado aún. La plataforma se validó y co-construyó con jóvenes. Desafíos: Las ventanas de incidencia se mueven más rápido que nuestras posibilidades de responder.  Sostenibilidad. ¿Cómo se sostiene la plataforma en el tiempo? (recursos, responsabilidades, actualización) Información. El reto está en que se crearon muchos frentes de trabajo y aún no hay claridades sobre co-responsables y procesos para avanzarlos.  																						
</t>
  </si>
  <si>
    <t>I-AJM-01-LE-FC</t>
  </si>
  <si>
    <t xml:space="preserve">Apoyamos a LSE, Luker y otros actores para cocrear, definir retos, formatos y resultados esperados en la Asamblea Juvenil de Manizales.  Entendemos la Asamblea Juvenil, como mecanismo de participación. La asamblea ya se hizo y se recomendó institucionalizarla. </t>
  </si>
  <si>
    <t>I-AM-01-ED-FC</t>
  </si>
  <si>
    <t xml:space="preserve">Las fundaciones, empresa, gremio de edtech y público se unieron para revisar recomendaciones de tech en la educación y desarrollo de competencias digitales para nuevo gobierno. Participaron tomadores de decisiones de alto nivel. Generó un producto de alto nivel: dirigido para incidir en rutas para gobierno abordar el tema. Posicionamos agendas respecto al rol lde la tecnología en la educación. ejemplo: K12 Conectando con el futuro (evento)                                                                                                                                                                                         </t>
  </si>
  <si>
    <t>I-AM-02-ED-FC</t>
  </si>
  <si>
    <t>Pilotos o pruebas experimentales en las que se verifica en escenarios reales los resultados que pueden generar las edtech en mejoras en aprendizajes específicos. Testbest:identifica soluciones tecnológicas, las pone a prueba y crea conocimiento sobre cómo pueden generar mejores resultados en los colegios. Los pilotos son de ciclo corto. (ChildTech- desafío) (Offer es otro reto) (sistematizar computadores para educar)</t>
  </si>
  <si>
    <t>I-AM-03-ED-FC</t>
  </si>
  <si>
    <t xml:space="preserve">Desde el conocimiento y evidencia generado, la iniciativa ofrece acciones de acompañamiento técnico diferenciales, para el fortalecimiento de ed tech. Actores de las ed tech con mejor información para ser más eficaces y mejorar aprendizajes esenciales (usan la info para mejorar).  Nodo más es una herramienta que convoca soluciones que ya existen y las evalúa para mejorar dándole un anáiisis integral. el acompañamiento que se da a las edtech.  Analiza y comprende el contexto. Una iniciativa Nodo más para mapear soluciones technológicas para la educación y estudiarlas para que se revisen y mejoren: tdc, fundamentos, etc.  Nodo más (aplicativo de mapeo de iniciativas y fortalecimiento de soluciones): acciones que contribuyen a intervenciones innovadoras para aprendizajes esenciales.   Una primera señal positiva, es que las empresas permiten acceder a información: para analizar cómo están (confianza y se están sumando)                                                                                                                                                                                                                                                                                                                                                                     </t>
  </si>
  <si>
    <t>I-AM-04-ED-FC</t>
  </si>
  <si>
    <t xml:space="preserve">Desde el conocimiento y evidencia generado, la iniciativa ofrece acciones de acompañamiento técnico diferencial (desde aprender más se sistematizan experiencias exitosas para evaluar un programa) a colegios y gobernaciones, tomadores de decisiones (a demanda). Genera info para que puedan comprar tecnología calificada con evidencia. revisar si las iniciativas tienen calidad. Facilita construcción de rubricas para tomar decisiones más informadas (ej. computadores para educar). </t>
  </si>
  <si>
    <t>I-ATE-01-ED-FC</t>
  </si>
  <si>
    <t xml:space="preserve">Se hicieron publicaciones con 3 universidades sobre cobretura y calidad en educación media. Se hizo 1 informe corto, que integra mirada de calidad y cobertura con foco para difundir y vender en medio: cifra y afirmación contundente. Difusión: Blue radio citó el informe de costo de la inacción. </t>
  </si>
  <si>
    <t>I-ATE-02-ED-FC</t>
  </si>
  <si>
    <t xml:space="preserve">Se posicionó la agenda con las Secretarías. Visión curricular distinta de fondo en las secretarías: una narrativa distinta sobre la educación media. Esta visión curricular implica el cambio de visión. En el fondo el jóven es líder y quien decide. ATEM trae esa visión curricular y así, al instalarla, cambia la creencia. Hay documentos que demuestran la adopción. Algunas lo presentan como proyecto ante Asambleas, otras circulares, otras han contratado para crecer a otras IE. Las secretarías adoptaron compromiso de política (de diferentes formas)  </t>
  </si>
  <si>
    <t>I-ATE-03-ED-FC</t>
  </si>
  <si>
    <t xml:space="preserve">Reuniones con 10 congresistas y 4 campañas presidenciales. De las campañas con las que hubo reuniones, hubo compromiso verbales de trabajar con la Alianza para fortalecer la media (Vivian Morales).  Los congresistas dijeron que firmarían el proyecto de Acto legislativo o apoyarían el proyecto para que la Media sea obligatoria. </t>
  </si>
  <si>
    <t>I-ATE-04-ED-FC</t>
  </si>
  <si>
    <t xml:space="preserve">Las secretarías se suman a la Red que trabaja en el tema. Adentro de la Red que promueve la Alianza: hay energía y esfuerzos para consolidar acciones de incidencia. Comparten buenas prácticas sobre la implementación de la visión. Hemos incidido en que estén dispuestas las SE a recoger evidencia (que no era importante). </t>
  </si>
  <si>
    <t>I-ATE-05-ED-FC</t>
  </si>
  <si>
    <t xml:space="preserve">ATEM forma SEC y Colegios. Se acompaña a traducir en acciones. (Sin esta no pasa o se consolida la 02). Compararon las trayectorias en pruebas saber de las 3 SE de más tiempo con las que llevan menos tiempo o no están en ATEM y mostraron las más antiguas, una aceleración de la mejora, respecto a las otras. </t>
  </si>
  <si>
    <t>I-CDB-01-LE-FC</t>
  </si>
  <si>
    <t xml:space="preserve">Se documentó el uso de las ciencias de comportamiento para promover cambios de deliberación ciudadana y ciudadanía e institucionalidad: documento que se presenta en bélgica. Cómo los ciclos mejoran confianza interpersonal con las instituciones. Se midió!  Se publicó en una guía distrital para la deliberación. Lleva a entender la deliberación como comportamiento colaborativo. </t>
  </si>
  <si>
    <t>I-CDB-02-LE-FC</t>
  </si>
  <si>
    <t xml:space="preserve">Instrumentos: se ven en el PGIRS y en campañas de la alcaldía para manejo de residuos sólidos. El ciclo es un cambio en sí mismo. Cierre y devolución de segundo ciclo con resultados a asambleistas.   Fundación 2050 hacen el MEL del proceso.                                                                                                                                                                    </t>
  </si>
  <si>
    <t>I-CDB-03-LE-FC</t>
  </si>
  <si>
    <t xml:space="preserve">Se está diseñando el 3er ciclo con participación más cualificada de la juventud (asientos sólo para jóvenes)                  </t>
  </si>
  <si>
    <t>I-CMB-01-EM-FC</t>
  </si>
  <si>
    <t>Uno de los focos de empleabilidad</t>
  </si>
  <si>
    <t>I-CMB-02-EM-FC</t>
  </si>
  <si>
    <t xml:space="preserve">No ha habido desploqueo de recursos  </t>
  </si>
  <si>
    <t>I-CMB-03-EM-FC</t>
  </si>
  <si>
    <t xml:space="preserve">La FC promueve que haya Tdc, que haya MEL... GOBERNANZA. NO hay NORTE  </t>
  </si>
  <si>
    <t>I-CMB-04-EM-FC</t>
  </si>
  <si>
    <t>Liderar una gobernanza  (estratégica)</t>
  </si>
  <si>
    <t>I-CMB-05-EM-FC</t>
  </si>
  <si>
    <t>Lidera una mesa: liderazgo/ empleabilidad</t>
  </si>
  <si>
    <t>I-CMB-06-EM-FC</t>
  </si>
  <si>
    <t xml:space="preserve">Conversar: jóvenes y empresarios. FC trae a prendizajes y hace que otros se sienten en la mesa . Se han hecho explícitos los sesgos que hay, imprescindibles para generar el cambio. </t>
  </si>
  <si>
    <t>I-CMB-07-EM-FC</t>
  </si>
  <si>
    <t>FC trae aprendizajes y hace que otros se sienten en la mesa. Sí hay convergencia entre diferentes actores</t>
  </si>
  <si>
    <t>I-CMB-08-EM-FC</t>
  </si>
  <si>
    <t>Instamos a generar comprensiones del territorio por parte de aliados (no de la iniciativa). Hemos instado a hacer una correcta lectura de lo que está pasando en el territorio.</t>
  </si>
  <si>
    <t>I-CMB-09-EM-FC</t>
  </si>
  <si>
    <t xml:space="preserve">Acompañamos a Fundación Origen en el diseño e inmplementación del programa de Liderazgo Público Transformador para que líderes desarrollen conocim,ientos y capacidades de liderazgo.   Desafíos: No hay una conexión más sistémica con su ejercio. Más allá del programa de LPT, no hay claridad de por qué esos líderes, conexión con el contexto concreto y articulación en el territorio.  </t>
  </si>
  <si>
    <t>I-CMB-10-EM-FC</t>
  </si>
  <si>
    <t xml:space="preserve">Acompañamos la estructuración e instalación del eje de liderazgo como escenario de articulación entre aliados.   Desafíos: A pesar del ejercicio riguroso, técnico y colaborativo, los esfuerzos porque se abordara el liderazgo de este escenario desde CB han sido estériles.  </t>
  </si>
  <si>
    <t>I-CMB-11-EM-FC</t>
  </si>
  <si>
    <t xml:space="preserve">Hemos tenido un proceso comprometido de diferentes actores del ecosistema para fortalecer el desarrollo de Suba y varios procesos organizativos para colaborar,   Desafíos: En el despliegue, la efectividad y orientación de ese ejercicio colectivo es ausente.  </t>
  </si>
  <si>
    <t>I-CMB-12-EM-FC</t>
  </si>
  <si>
    <t xml:space="preserve">Hemos acompañado un proceso con FIP para desarrollar un proceso de medición de confianza y coalboración (se está definiendo el alcance de esto).   Desafíos: Estamos en ello, hay recursos, pero apenas está iniciando.  </t>
  </si>
  <si>
    <t>I-CV-01-ED-FC</t>
  </si>
  <si>
    <t>La encuesta comparada de percepción ciudadana entre como vamos, está recogiendo datos de puntos críticos de educación y empleo: para posicionar agendas de educ y empleo</t>
  </si>
  <si>
    <t>I-CV-02-ED-FC</t>
  </si>
  <si>
    <t xml:space="preserve">Participamos en el comité directivo de los cómo vamos (manizales) que está alineado con educación. Calidad de la cobertura y jóvenes con potencial: llevar esa conversación a qué de lo que pasa en manizales conecta con la agenda de educación y empleo (y educación media)   Retroalimentamos la agenda en el territorio y el cómo vamos la posiciona.   </t>
  </si>
  <si>
    <t>I-CV-03-LE-FC</t>
  </si>
  <si>
    <t xml:space="preserve">Son aliados del IPJ: proveedores de info y van a movilizar las agendas de cara a elecciones territoriales  </t>
  </si>
  <si>
    <t>I-CV-04-LE-FC</t>
  </si>
  <si>
    <t xml:space="preserve">Están reformulando el modulo de educacion de la encuesta de percepción ciudadana: ed media  </t>
  </si>
  <si>
    <t>I-CV-05-LE-FC</t>
  </si>
  <si>
    <t xml:space="preserve">Encuesta comparada: arroja info de juventud  </t>
  </si>
  <si>
    <t>I-CV-06-LE-FC</t>
  </si>
  <si>
    <t xml:space="preserve">Algunos informes sí se alinean y otros no. como el de luker-manizales. Sacan informes de calidad de vida (pueden permitir ver qué hay de juventud) . la idea es que se hagan agendas territoriales que pueden apuntaroe a oportunidades  </t>
  </si>
  <si>
    <t>I-CV-07-LE-FC</t>
  </si>
  <si>
    <t xml:space="preserve">Se está rediseñando e implementando la actualización del nuevo modelo. Esta revisión busca responder a los retos de impacto, incidencia (efectiva) y de dejar capacidades instaladas o descentralizadas. La FC se ha pensado un modelo de gestión de trabajo multiactor  </t>
  </si>
  <si>
    <t>I-CV-08-LE-FC</t>
  </si>
  <si>
    <t xml:space="preserve">Se contrató a alguien desde la FC para liderar la red. los programas deciden que no se necesita a alguien que la lidere, sino que la gestionan entre ellos. La historia iterada. La FC contrató técnicos de los programas para liderar las acciones de la como vamos. Ya no hay red, sino una líder. e ven necesidades de cambio, ya la FC no necesita liderarlo. Yel cambio se gestiona solos... la red está más autogestionada  </t>
  </si>
  <si>
    <t>Acciones estratégicas</t>
  </si>
  <si>
    <t xml:space="preserve">Outputs	</t>
  </si>
  <si>
    <t>Cambio - no en estrategia</t>
  </si>
  <si>
    <t>Los actores que forman y acompañan líderes (juveniles y demás actores) promueven el desarrollo de CAPACIDADES efectivas y coherentes con la DELIBERACIÓN, DIÁLOGO Y COLABORACIÓN</t>
  </si>
  <si>
    <t>Los prestadores del servicio público de empleo y organizaciones empleadoras (públicas o privadas) generan PRÁCTICAS PARA LA CONTRATACIÓN ACTIVA de jóvenes.</t>
  </si>
  <si>
    <t>Los actores generan intervenciones educativas innovadoras y eficaces para el desarrollo, recuperación y nivelación de APRENDIZAJES ESENCIALES.</t>
  </si>
  <si>
    <t>Los responsables de la educación media adoptan medidas para que LA MEDIA SEA INTEGRAL, PERTINENTE Y OBLIGATORIA.</t>
  </si>
  <si>
    <t>Los actores del sistema desarrollan ALTERNATIVAS DE FORMACIÓN POSMEDIA (ágiles, pertinentes y flexibles).</t>
  </si>
  <si>
    <t>Los actores del sistema promueven (y tienen) CREENCIAS HABILITANTES (en sí mismos y en jóvenes) sobre temas específicos.</t>
  </si>
  <si>
    <t>Las instituciones y org del sistema DESARROLLAN CAPACIDADES DE GESTIÓN DE CONOCIMIENTO (generación, comprensión y uso).</t>
  </si>
  <si>
    <t>Las instituciones y org del sistema DESARROLLAN CAPACIDADES DE LIDERAZGO colaborativo.</t>
  </si>
  <si>
    <t>Los actores del sistema DESPLIEGAN PRÁCTICAS COLABORATIVAS, democráticas, corresponsables, abiertas y articuladas.</t>
  </si>
  <si>
    <t>Los actores e instituciones CO-CREAN CON LAS JUVENTUDES organizadas en espacios de decisión, planeación y representación responsivos.</t>
  </si>
  <si>
    <t>Los actores ORIENTAN SUS PRÁCTICAS DESDE COMPRENSIONES SISTÉMICAS.</t>
  </si>
  <si>
    <t>Generar oportunidades está en agendas de iniciativas, políticas y planes (nacional y local)</t>
  </si>
  <si>
    <t>Los actores RESPONDEN CON ACCIONES EFICACES EN FUNCIÓN DE LAS AGENDAS de las juventudes.</t>
  </si>
  <si>
    <t>Actores del sistema que pueden generar oportunidades, tienen mejores capacidades para hacerlo.</t>
  </si>
  <si>
    <t>Los jóvenes tienen oportunidades de empleo suficientes, equitativas, pertinentes y aprovechadas</t>
  </si>
  <si>
    <t>Lós jóvenes tienen oportunidades de educación media y posmedia suficientes, equitativas, pertinentes y aprovechadas</t>
  </si>
  <si>
    <t>Los jóvenes tienen oportunidades de libre elección pública suficientes, equitativas, pertinentes y aprovechadas</t>
  </si>
  <si>
    <t>Los jóvenes tienen oportunidades de incidencia suficientes, equitativas, pertinentes y aprovechadas</t>
  </si>
  <si>
    <t>Hay canales y fuentes confiables, accesibles y veraces</t>
  </si>
  <si>
    <t>Los jóvenes desarrollan capacidades/habilidades pertinentes para las oportunidades</t>
  </si>
  <si>
    <t>Los jóvenes responden a la invitación, les interesa y participan</t>
  </si>
  <si>
    <t>Los jóvenes tienen creencias habilitantes sobre los actores institucionales del sistema</t>
  </si>
  <si>
    <r>
      <rPr>
        <sz val="8"/>
        <color rgb="FF4A86E8"/>
        <rFont val="Arial"/>
      </rPr>
      <t xml:space="preserve">Azul: acciones estratégicas (control)
Azul rey: outputs (control)
</t>
    </r>
    <r>
      <rPr>
        <sz val="8"/>
        <color rgb="FF8E7CC3"/>
        <rFont val="Arial"/>
      </rPr>
      <t xml:space="preserve">Lila: supuestos
</t>
    </r>
    <r>
      <rPr>
        <sz val="8"/>
        <color rgb="FFF1C232"/>
        <rFont val="Arial"/>
      </rPr>
      <t xml:space="preserve">Amarillo: cambios específicos de oportunidades
</t>
    </r>
    <r>
      <rPr>
        <sz val="8"/>
        <color rgb="FFBF2598"/>
        <rFont val="Arial"/>
      </rPr>
      <t xml:space="preserve">Magenta: cambios transversales
</t>
    </r>
    <r>
      <rPr>
        <sz val="8"/>
        <color rgb="FF00FF00"/>
        <rFont val="Arial"/>
      </rPr>
      <t xml:space="preserve">Verde limón: cambios de área de interés
</t>
    </r>
    <r>
      <rPr>
        <sz val="8"/>
        <color rgb="FF6AA84F"/>
        <rFont val="Arial"/>
      </rPr>
      <t>Verde pistacho: cambios sistémicos</t>
    </r>
  </si>
  <si>
    <t>Analizamos y comprendemos el contexto (sistema)</t>
  </si>
  <si>
    <t>Habrá comprensiones sistémicas sobre cómo funciona el sistema de oportunidades, útiles para orientar prácticas</t>
  </si>
  <si>
    <t>I-AD-03-LE-FC-IC</t>
  </si>
  <si>
    <t>Generamos conocimiento y evidencia</t>
  </si>
  <si>
    <t>Habrá conocimiento sobre oportunidades útil para orientar acciones específicas</t>
  </si>
  <si>
    <t>I-AD-05-LE-FC-EC</t>
  </si>
  <si>
    <t>I-AD-05-LE-FC-IC</t>
  </si>
  <si>
    <t>Posicionamos agendas</t>
  </si>
  <si>
    <t>Habrá agendas que reconocen la relevancia de los "cómos" para generar oportunidades</t>
  </si>
  <si>
    <t>I-AD-04-LE-FC-BC</t>
  </si>
  <si>
    <t>I-AD-04-LE-FC-EC</t>
  </si>
  <si>
    <t>Promovemos acciones colectivas</t>
  </si>
  <si>
    <t>Habrá acciones colectivas orientadas a generar las oportunidades</t>
  </si>
  <si>
    <t>Promovemos el diseño y desarrollo de soluciones</t>
  </si>
  <si>
    <t>Actores del sistema diseñan soluciones orientadas a generar oportunidades</t>
  </si>
  <si>
    <t>I-AD-01-LE-FC-EC</t>
  </si>
  <si>
    <t>I-AD-06-LE-FC-BC</t>
  </si>
  <si>
    <t>I-AD-09-LE-FC-EC</t>
  </si>
  <si>
    <t>I-AD-02-LE-FC-EC</t>
  </si>
  <si>
    <t xml:space="preserve"> I-AD-07-LE-FC-BC</t>
  </si>
  <si>
    <t xml:space="preserve"> I-AD-04-LE-FC-IC</t>
  </si>
  <si>
    <t>I-AD-08-LE-FC-BC</t>
  </si>
  <si>
    <t>I-AD-09-LE-FC-BC</t>
  </si>
  <si>
    <t>Fortalecemos capacidades (liderazgo corresponsable)</t>
  </si>
  <si>
    <t>Actores del sistema tienen capacidades de liderar fortalecidas</t>
  </si>
  <si>
    <t>Récord de reportes</t>
  </si>
  <si>
    <t>Armando/ ok (junio y julio)</t>
  </si>
  <si>
    <t xml:space="preserve">Antecedentes </t>
  </si>
  <si>
    <t>Contexto/novedades</t>
  </si>
  <si>
    <t>Outputs</t>
  </si>
  <si>
    <t>I-AEJ-02-EM-FC-IC</t>
  </si>
  <si>
    <t>I-AEJ-02-EM-FC-BC</t>
  </si>
  <si>
    <t>Actores del sistema diseñan soluciones orientadas a generan oportunidades</t>
  </si>
  <si>
    <t>I-AEJ-01-EM-FC-IC</t>
  </si>
  <si>
    <t>Daniela R/ ok (junio y julio)</t>
  </si>
  <si>
    <t>Latimpacto lidera la alianza. Está CC de Cali; Angloamerican; F. Bancolombia; Promigas y +PxR</t>
  </si>
  <si>
    <t>I-AIL-02-EM-FC-IC</t>
  </si>
  <si>
    <t>I-AIL-02-EM-FC-BC</t>
  </si>
  <si>
    <t xml:space="preserve">I-AIL-01-EM-FC-EE
</t>
  </si>
  <si>
    <t>I-AIL-01-EM-FC-BC</t>
  </si>
  <si>
    <t>I-AIL-01-EM-FC-EE</t>
  </si>
  <si>
    <t xml:space="preserve"> I-AIL-02-EM-FC-IC</t>
  </si>
  <si>
    <t>Rafa, julio ok. PENDIENTE COTEJAR CON DANIEL</t>
  </si>
  <si>
    <t xml:space="preserve">La alianza había pasado por una transición. No ha habido una estrategia clara de incidencia, pero era claro que había que cambiar lo que se estaba haciendo. Se esperaba que al comunicar mejor, eso generaría incidencia. Y ha llevado a visibilizar diagnósticos y no a incidir. El modelo de empleo inclusivo es lo que nos une en la alianza: hablar de trayectoriasLos aliados no participan, no se comprometen, no asisten. Daniel tiene la mirada de insistir. El equipo se pregunta si vale la pena seguir. Es una Alianza con bajas cualidades de colaboración. Es pertinente para FC y para los demás, es un espacio de visibilidad y de reputación. </t>
  </si>
  <si>
    <t>I-AJ-01-LE-FC-BC</t>
  </si>
  <si>
    <t>I-AJ-01-LE-FC-IC</t>
  </si>
  <si>
    <t>I-AJ-01-LE-FC-EC</t>
  </si>
  <si>
    <t>Cami pendiente!!!</t>
  </si>
  <si>
    <t xml:space="preserve">En noviembre se construyó un estauto de manera colaborativa con aliados. Define el norte y gobernanza de la Alianza.   Visión: Apoyamos el análisis de retos y oportunidades de la juventud en Yumbo para desarrollar rutas para el fortalecimiento de conocimientos y capacidades para la incidencia. Desafíos: Las ventanas de incidencia se mueven más rápido que nuestras posibilidades de responder.  Definir indicadores por aliado, recurrencia y responsable de actualización; y criterios para la revisión de documentos. Propuesta: comité semestral de socios. Formación y convocatorias Estrategia de organización y actualización de contenidos formativos. Gobernanza: Distribución de responsabilidades entre aliados, periodicidad de reuniones y posible creación de comités. Comunicación y transferencia: Estrategia de acompañamiento para asegurar uso y apropiación real en territorios (no solo difusión en redes). 																							</t>
  </si>
  <si>
    <t>I-AJM-01-LE-FC-BC</t>
  </si>
  <si>
    <t>ok- armando julio</t>
  </si>
  <si>
    <t xml:space="preserve">Antes de la solución, se requirió análisis de datos, conversaciones colectivas, etc. Son pasos previos. Se hizo un estudio de jóvenes en sociedad, con un capítulo especial para Manizales: se creó evidencia como punto de partida para la Asamblea. </t>
  </si>
  <si>
    <t>I-AM-02-ED-FC-BC</t>
  </si>
  <si>
    <t>I-AM-02-ED-FC-IC</t>
  </si>
  <si>
    <t>I-AM-03-ED-FC-BC</t>
  </si>
  <si>
    <t>I-AM-04-ED-FC-BC</t>
  </si>
  <si>
    <t>I-AM-01-ED-FC-BC</t>
  </si>
  <si>
    <t>I-AM-01-ED-FC-IC</t>
  </si>
  <si>
    <t>I-AM-03-ED-FC-IC</t>
  </si>
  <si>
    <t xml:space="preserve"> I-AM-04-ED-FC-IC</t>
  </si>
  <si>
    <t>I-AM-04-ED-FC-IC</t>
  </si>
  <si>
    <t>ok- Lau agosto</t>
  </si>
  <si>
    <t>Antecedentes</t>
  </si>
  <si>
    <t>Contexto/ novedades</t>
  </si>
  <si>
    <t>I-ATE-01-ED-FC-IC</t>
  </si>
  <si>
    <t>I-ATE-02-ED-FC-EC</t>
  </si>
  <si>
    <t>I-ATE-02-ED-FC-BC</t>
  </si>
  <si>
    <t>I-ATE-03-ED-FC-IC</t>
  </si>
  <si>
    <t>I-ATE-04-ED-FC-IC</t>
  </si>
  <si>
    <t>I-ATE-04-ED-FC-EC</t>
  </si>
  <si>
    <t>I-ATE-05-ED-FC-IC</t>
  </si>
  <si>
    <t>I-ATE-05-ED-FC-EC</t>
  </si>
  <si>
    <t>ok- Rafa julio</t>
  </si>
  <si>
    <t xml:space="preserve">4 frentes de acción: Incidencia, acompañamiento directo a SE e IE; asesorar la expansión a nuevas IE sin intervenir directamente y generar evidencia. Se han hecho 2 informes cortos. Se trabaja con 11 SE. Adentro de la alianza:hay causas comunes y estructurales. No la suma de proyectos, o herramientas sino de mejorar permanencia y aprendizajes a 10 años. Las Se hacen parte de la Alianza. Hemos apoyado en llamar otros actores del sistema; hemos hecho llamado a colaborar y no por el reconocimiento de aliados (NATURA trajo el discurso). Pueden llegar nuevos aliados F. Barco .                                                                                                                                                                                                                                                                                                                                                                                  </t>
  </si>
  <si>
    <t>Giro hacia la importancia de generar evidencia, y de la intervención directa a la indirecta. Ojo: esto es relevante porque es un giro de rol hacia Constructor de Campo!!!</t>
  </si>
  <si>
    <t>I-CDB-01-LE-FC-BC</t>
  </si>
  <si>
    <t>I-CDB-01-LE-FC-IC</t>
  </si>
  <si>
    <t>I-CDB-02-LE-FC-EC</t>
  </si>
  <si>
    <t>I-CDB-03-LE-FC-IC</t>
  </si>
  <si>
    <t xml:space="preserve">Son meta del plan de desarrollo distrital en el cuatrenio. Se convirtió en una iniciativa de la Fundación, recibimos un grant para materializarlos. La meta- asamblea llevó a un decreto que reglamentó los ciclos y los convirtió en una instancia para deliberar. </t>
  </si>
  <si>
    <t xml:space="preserve">Vinculamos a Bog cómo vamos y a metro cómo vamos: el tema es el metro. Ya fue aprobado por la alcaldía. 																							</t>
  </si>
  <si>
    <t>I-CV-01-ED-FC-EC</t>
  </si>
  <si>
    <t>I-CV-05-LE-FC-IC</t>
  </si>
  <si>
    <t>I-CV-04-LE-FC-IC</t>
  </si>
  <si>
    <t>I-CV-02-ED-FC-EC</t>
  </si>
  <si>
    <t>I-CV-02-ED-FC-IC</t>
  </si>
  <si>
    <t>I-CV-06-LE-FC-EE</t>
  </si>
  <si>
    <t>I-CV-03-LE-FC-IC</t>
  </si>
  <si>
    <t>I-CV-07-LE-FC-BC</t>
  </si>
  <si>
    <t>I-CV-07-LE-FC-IC</t>
  </si>
  <si>
    <t>I-CV-08-LE-FC-EC</t>
  </si>
  <si>
    <t>Cami R. PENDIENTE!     Definir cómo queremos que contribuyan los como vamos? y poder priorizar en cuáles queremos intencionar más nuestro acompañamiento y a qué territorios vamos a enfocar	Definir qué CV priorizar y sus territorios. La relación de los CV es paternalista respecto a la FC. Fortalecer la descentralización de la marca. 	¿Qué de los Cómo vamos sigue siendo tarea de la Fundación y porqué? 	Nos falta comprender mejor la intención de los cambios de prácticas sistémicas de la historia 2</t>
  </si>
  <si>
    <t>I-CMB-03-EM-FC-IC</t>
  </si>
  <si>
    <t>I-CMB-12-EM-FC-IC</t>
  </si>
  <si>
    <t>I-CMB-12-EM-FC-EE</t>
  </si>
  <si>
    <t>I-CMB-04-EM-FC-IC</t>
  </si>
  <si>
    <t>I-CMB-06-EM-FC-IC</t>
  </si>
  <si>
    <t>I-CMB-08-EM-FC-IC</t>
  </si>
  <si>
    <t>I-CMB-01-EM-FC-IC</t>
  </si>
  <si>
    <t>I-CMB-11-EM-FC-BC</t>
  </si>
  <si>
    <t>I-CMB-05-EM-FC-IC</t>
  </si>
  <si>
    <t>I-CMB-10-EM-FC-EE</t>
  </si>
  <si>
    <t>I-CMB-07-EM-FC-IC</t>
  </si>
  <si>
    <t>I-CMB-11-EM-FC-EE</t>
  </si>
  <si>
    <t>I-CMB-09-EM-FC-EE</t>
  </si>
  <si>
    <t>I-CMB-09-EM-FC-EC</t>
  </si>
  <si>
    <t>I-CMB-02-EM-FC-EE</t>
  </si>
  <si>
    <t>Revisar con cami (revisada con Dani R y con Tati)</t>
  </si>
  <si>
    <t xml:space="preserve">Fundación Grupo social está con la CCB y la SE distrital. Ellos lideran acciones complementarias sin recursos: organización de acciones (sin avance aún) </t>
  </si>
  <si>
    <t>I-CMV-01-EM-FC-EC</t>
  </si>
  <si>
    <t>ok Dani julio</t>
  </si>
  <si>
    <t xml:space="preserve">Es una historia de éxito anterior a este tiempo. No fue tan exitoso el ejercicio de compartir aprendizajes de antes. </t>
  </si>
  <si>
    <t>I-CMV-01-EM-FC</t>
  </si>
  <si>
    <t xml:space="preserve">Se han consolidado cambios y prácticas en COMFANDI. La Caja se reestructuró y tuvo como base los aprendizajes del proceso que habíamos dejado. Ellos dieron continuidad al trabajo que habíamos hecho, sin FC, sino con Propacífico. Se descargó la responsabilidad. Parte del trabajo fue entender cuál es el rol de cada uno en el sistema. COMFANDI y propacífico entendieron la complementareidad y sus capacidades. FC no es indispensable. Falta aún un camino hacia consolidar las capacidades para que lo hagan mejor cada vez. (Pregunta de su impacto para indicador de alto nivel). </t>
  </si>
  <si>
    <t>I-CA-01-LE-FC-EC</t>
  </si>
  <si>
    <t>ok armando julio</t>
  </si>
  <si>
    <t>En el marco de la iniciativa se ha promovido el fortalecimiento de capacidades de liderazgo</t>
  </si>
  <si>
    <t>I-CA-01-LE-FC</t>
  </si>
  <si>
    <t xml:space="preserve">Ayudamos a mejorar un documento público: para fortalecer estándares y metodologías de innovación y cocreación para el trabajo legislativo. Extituto, NIMD, viva la ciudadanía, FC, congreso visible, observatorio legislativo de la U rosario. Dado el contexto, ha habido un momento de pausa y replantear, planear, etc. Es un documento de la oficina de participación. Tiene una caja de herramientas para congresistas para involucrar ciudadanía en sus procesos. </t>
  </si>
  <si>
    <t>I-CCD-01-LE-FC-IC</t>
  </si>
  <si>
    <t>I-CCD-01-LE-FC</t>
  </si>
  <si>
    <t xml:space="preserve">Espacio al que nos invitaron: estamos en reuniones en las que propusimos que en el marco de la mesa del consejo de cuidado digital que se enfoca en NNJ: gobernanza de cuidado digital multiactor/// necesidad de mirar ciencias del comportamiento y narrativas para la difusión de  las recomendaciones de cuidado, para llegar con claridad a los NNJ  </t>
  </si>
  <si>
    <t>I-DE-01-LE-FC-EC</t>
  </si>
  <si>
    <t>I-DE-01-LE-FC</t>
  </si>
  <si>
    <t xml:space="preserve">Apoyo a la misión de ob elec para el despliegue de su metodología de identificación de narrativas antidemocráticas en las campañas presidenciales y de desinformación. Entendimos cuáles eran los mensajes y creencias, valores, narrativas que se intentaban posicionar o transformar para desplegar acciones conjuntas (antidemocráticas, asociadas a las institucionalidad y entre partidos). La MOE generó 4 informes sobre narrativas antidemocráticas y mensajes de odio en el proceso electoral, que se divulgaron en las mesas de seguimiento de la MOE (las financiamos). La MOE presentó el conocimiento a muchas instituciones: coopr int y públicas . </t>
  </si>
  <si>
    <t>I-ED-01-ED-FC-IC</t>
  </si>
  <si>
    <t>ok armando julio// Lau julio???</t>
  </si>
  <si>
    <t>I-ED-01-ED-FC</t>
  </si>
  <si>
    <t xml:space="preserve">Se propone incluir una pregunta dentro del formulario, para conocer iniciativas democráticas en los colegios (FC financia a colombia líder, quien recoge info y hace el premio. aplica el formulario). Aún la pregunta no está incluida y no se ha recogido info aún (en agosto habría empezado la info).   Necesitamos entender qué hay en el territorio y así trazar la ruta con entidades territoriales.  Esto aporta a media integral, porque los jóvenes deben tener habilidades socioemocionales y pensamiento crítico que se deben adquirir en la escuela: como educación democrática. Nos permitirá entender gobernaciones con iniciativas, interesadas y buenas prácticas. Permite crear incentivos cuando entendamos qué motiva.                                                                                                                                                                                                   </t>
  </si>
  <si>
    <t>I-EJ-01-ED-FC-BC</t>
  </si>
  <si>
    <t>I-EJ-01-ED-FC-IC</t>
  </si>
  <si>
    <t>Tati? Cami?</t>
  </si>
  <si>
    <t>I-EJ-01-ED-FC</t>
  </si>
  <si>
    <t xml:space="preserve">Retroalimentando el borrador de politica de educación para los próximos 10 años  </t>
  </si>
  <si>
    <t>I-FO-01-EM-FC-IC</t>
  </si>
  <si>
    <t>I-FO-02-EM-FC-EC</t>
  </si>
  <si>
    <t>I-FO-02-EM-FC-IC</t>
  </si>
  <si>
    <t xml:space="preserve"> I-FO-01-EM-FC-IC</t>
  </si>
  <si>
    <t>para conversar con Cami recio	Para conversar con Daniel</t>
  </si>
  <si>
    <t>I-FO-01-EM-FC</t>
  </si>
  <si>
    <t xml:space="preserve">Iniciativa multiactor. FC pone recursos. Testear distintas formas de uso de recursos de filantropía para la mejor forma de invertir los recursos y así crear ecosistema. Queremos aprender. No sabemos si financiar varias o si financiar una y acompañar. Aún hay muchas preguntas de aprendizaje: como acompañar, qué necesita el ecosistema? los proyectos que han sido apoyados no coinciden necesariamente con la estrategia. No están coincidiendo con la agenda estratégica. No es empleo el core hasta ahora. </t>
  </si>
  <si>
    <t>I-FO-02-EM-FC</t>
  </si>
  <si>
    <t xml:space="preserve">En el marcol Fondo se identificaron y construyeron unos arquetipos de organizaciones que están escritos por la Se técnica y unas consultorías del fondo. Para ver su nivel de desarrollo y plan de acompañamiento. Eso es una herramienta de conocimiento, para acompañarlas. Y la mirada la estamos desarrollando entre los aliados. </t>
  </si>
  <si>
    <t>I-FD-01-EM-FC-IC</t>
  </si>
  <si>
    <t>I-FD-03-EM-FC-EC</t>
  </si>
  <si>
    <t>I-FD-02-EM-FC-IC</t>
  </si>
  <si>
    <t>I-FD-02-EM-FC-EC</t>
  </si>
  <si>
    <t>Joha ok</t>
  </si>
  <si>
    <t xml:space="preserve">Queremos que haya más empleo y de mejor calidad para los jóvenes. El discurso de posicionar la agenda tiene un techo: los jóvenes necesitan oportunidades, responde a la buena voluntad de las empresas. Entonces, mejor apelar a la generación de valor que buscan las empresas. Hablar lenguaje empresarial. El talento humano es relevante porque está asociado a la productividad. LA formación dual es una herramienta para generar empleo pertinente (no masivo). Tengo que demostrarlo. </t>
  </si>
  <si>
    <t>I-FD-01-EM-FC</t>
  </si>
  <si>
    <t xml:space="preserve">En la Fundación no somos expertos en productividad. Nos aliamos con el consejo privado de competitividad y unas cajas que sí son expertos. La fundación es el contratista intermediario para la medición con otros consultores.  Queremos medir la dual para probar que responde a retos de talento y productividad. Producir conocimiento: para hacer rigurosa la medición de productividad: pedagogía para evaluar. La alianza cuenta con expertos, a partir de unos lineamientos.  Estamos haciendo un clúster de capacidades para hacer la medición. Hemos posicionado la evaluación/medición a la formación dual, como algo util para los empresarios (resuelve problemas de productividad) . Efecto demostrativo.                                                                                                                                                                                         </t>
  </si>
  <si>
    <t>I-FD-02-EM-FC</t>
  </si>
  <si>
    <t xml:space="preserve">Nuestra capacidad de incidencia SUMA: jalonar la mesa para que sea del ecosistema. Definir la gobernanza requirió convocar actores a escenarios. Mobilizamos el ecosistema. No somos protagonistas. Destrabamos el trabajo con SuizzContact. Creyeron que podíamos estar compitiendo. Luego entendieron que no competimos. Promovemos que hagan la incidencia de esto en lo que estamos. nuestro rol es más de jalonar la mesa para que la acción sea del ecosistema y no solamente un tema super técnico. hemos posicionado el tema de productividad, esto sirve para sustentar formar gente desde este modelo. </t>
  </si>
  <si>
    <t>I-FD-03-EM-FC</t>
  </si>
  <si>
    <t xml:space="preserve">Se van a implementar programas: Luker generación R y comfama/proantioquia. Se aprende haciendo y generando evidencia. Tendremos un rol importante en gesco para que el efecto demostrativo y evidencia de que la formación dual sirve también para los temas de productividad. </t>
  </si>
  <si>
    <t>I-GBR-01-EM-FC-IC</t>
  </si>
  <si>
    <t>I-GBR-02-EM-FC-IC</t>
  </si>
  <si>
    <t xml:space="preserve"> I-GBR-02-EM-FC-IC</t>
  </si>
  <si>
    <t>I-GBR-03-EM-FC-BC</t>
  </si>
  <si>
    <t>I-GBR-04-EM-FC-IC</t>
  </si>
  <si>
    <t>I-GBR-04-EM-FC-BC</t>
  </si>
  <si>
    <t>I-GBR-01-EM-FC</t>
  </si>
  <si>
    <t>Se busca entender el sector productivo y oportunidades, necesidades e intereses respecto a talento humano y la perspectiva de los jóvenes. Es una comprensión sistémica. Lo hace un consultor.</t>
  </si>
  <si>
    <t>I-GBR-02-EM-FC</t>
  </si>
  <si>
    <t xml:space="preserve"> Fundación La Cayena y otros actores  y empresas están trabajando alrededor del potencial del desarrollo portuario de BBQLL. para entdner oportunidades de contratación laboral de jóvenes y fortalecimiento de capacidades.  Se espera hacer un piloto de formación y cierre de brechas para colocación de la población en el sector. Pero para la fundación, más allá del piloto, el interes es entender los retos de este trabajo. Indagamos plantear una innovación en términos de intermediación laboral con una fundación Santa María de la Real que tiene un modelo: lanzaderas. Para fortalecer capacidades de intermediación laboral y de desarrollarlas en los jóvenes. </t>
  </si>
  <si>
    <t>I-GBR-03-EM-FC</t>
  </si>
  <si>
    <t xml:space="preserve">Fortalecimiento de organizaciones para que acompañen jóvenes en su trayectoria hacia oportunidades de empleo y emprendimiento. Se involucró el GAG y otros actores que pueden incidir en la conversación. Generamos conocimiento y evidencia para entender cómo fortalecer este rol. A través de las org de base estamos logrando mayor escala y capacidad de sostenibilidad de los procesos que se hacen en el territorio. Y es una puerta de entrada a una conversación aterrizada de transferencia de conocimiento. Las organizaciones desarrollan capacidades enfocadas en temas de educación socioocupacional; pero también organizacionales y de desarrollo de proyectos para que jueguen un rol más catalítico en sus territorios. Estamos mobilizando fundaciones que pueden tener un rol más importante eventualmente en el tema como fundación santo domingo.  </t>
  </si>
  <si>
    <t>I-GBR-04-EM-FC</t>
  </si>
  <si>
    <t xml:space="preserve">El año pasado adelantaron la comprensión de narrativas asociados a empresas y jovenes que dificultan la vinculación laboral. Y este año se hizo una radiografía de los comportamientos en las empresas. Hemos tenido conversaciones con diferentes actores con estos resultados. Por ejemplo como la seccional ANDI atlántico, hizo un modelo narrativo probando diferentes formas de conversar entre jovenes y empresarios que empiece a retar esas creencias y a fortalecer las que lo habilitan. vamos a identificar tácticas específicas a implementar con esos actores. Ha sido muy valioso plantear una pausa para que los equipos no vayan sacando pilotos, sino a entender las acciones de fondo y articuladas, como cadenas de acciones con diferentes niveles de aproximación a los actores y que permita tener evidencia de resultados reales en términos de comportamiento. Lo hemos discutido también con Grupo social, que ha promovido conversaciones improbables entre jóvenes y empresarios. </t>
  </si>
  <si>
    <t>I-GBR-05-EM-FC</t>
  </si>
  <si>
    <t xml:space="preserve">Se quiere buscar Transformación Cultural de las empresas. Hay una alianza para cambiar el comportamiento de las empresasen contratación: que las empresas no pidan experiencia para la contratación. Los dos GOYN están articulados. La revisión de medios que monitorea cómo se habla de jóvenes, ha mostrado cambios en cómo se habla. Y ya hay actores y espacios interesados en generar conversaciones entre jóvenes y empresas. </t>
  </si>
  <si>
    <t>I-GBG-06-EM-FC-IC</t>
  </si>
  <si>
    <t>I-GBG-01-EM-FC-EC</t>
  </si>
  <si>
    <t>I-GBG-05-EM-FC-BC</t>
  </si>
  <si>
    <t>I-GBG-02-EM-FC-IC</t>
  </si>
  <si>
    <t>I-GBG-03-EM-FC-BC</t>
  </si>
  <si>
    <t>I-GBG-03-EM-FC-EC</t>
  </si>
  <si>
    <t>I-GBG-07-EM-FC-IC</t>
  </si>
  <si>
    <t>I-GBG-02-EM-FC-BC</t>
  </si>
  <si>
    <t>I-GBG-01-EM-FC-IC</t>
  </si>
  <si>
    <t>I-GBG-07-EM-FC-BC</t>
  </si>
  <si>
    <t>I-GBG-03-EM-FC-IC</t>
  </si>
  <si>
    <t>I-GBG-04-EM-FC-IC</t>
  </si>
  <si>
    <t>RAFA y LAU</t>
  </si>
  <si>
    <t>I-GBG-01-EM-FC</t>
  </si>
  <si>
    <t xml:space="preserve">Quiero ser digital (implementación de iniciativas de desarrollo de competencias digitales en colegios). Crack the code. Se evalúa y usa info para tomadores de decisiones. Esta información se usa para que tomadores de decisión (quienes?) tengan practicas de escala eficaces y de pol pub para que los jovenes en media desarrollen competencias digitales (como obligación y no como opción para sus proyectos de vida)  </t>
  </si>
  <si>
    <t>I-GBG-02-EM-FC</t>
  </si>
  <si>
    <t>I-GBG-03-EM-FC</t>
  </si>
  <si>
    <t xml:space="preserve">Fomentar la innovación para lograr resultados en empleo. Fondo quiero ser digital y Fondo evolución digital. Entender mecanismos innovadores para procesos operativos que dan mejores resultados de colocación de jovenes en sector digital. Fase 2: FC decidió financiar. Intermediación laboral y articulación con sector productivo con un enfoque de acciones colectivas (diferentes financiadores buscando generar evidencia: fundaciones y empresas: confandi, Net) Cali, Bog y Barranquilla. Es un proceso colaborativo: diferentes actores aprendiendo y fortaleciendo capacidades. Incentivar diferentes formas de hacer intermediación laboral. El conocimiento ya se está generando. Estamos acompañando al operador para que sea conciente de la conexión entre sus innovaciones y el empleo. Se forma a los operadores y se financia fortalecimiento de sus capacidades de monitoreo y mejora continua (adaptación). </t>
  </si>
  <si>
    <t>I-GBG-04-EM-FC</t>
  </si>
  <si>
    <t xml:space="preserve">Buscamos que esos actores se fortalezcan y queden capaces de liderar. Estamos acompañando a esos operadores y queremos que se fortalezcan con un plan de fortalecimiento que se está haciendo para que tengan mejores modelos de negocio. </t>
  </si>
  <si>
    <t>I-GBG-05-EM-FC</t>
  </si>
  <si>
    <t xml:space="preserve">AyC's. Modelo diferente sobre el que se ha generado evidencia para conseguir resultados: formación larga y posmedia. como palanca para vinculación laboral. Jugamos rol como inversionistas. </t>
  </si>
  <si>
    <t>I-GBG-06-EM-FC</t>
  </si>
  <si>
    <t>Analizar y comprender el contexto en Bogotá. Construcción del informe 2026 para la conversación en Bogotá. Caracterizar la juventud en Bog y la colaboración. Para mostrar al ecosistema las capacidades actuales y potenciales. promover acciones colectivas. Motivó una conversación sobre el sector productivo en Bog y sus necesidades de talento humano y el potencial y valor de los jovenes para atender a esas necesidades. Consejo de GOYN. Fundación Soraida Cadavid ( Bog regiñon) y la CCB</t>
  </si>
  <si>
    <t>I-GBG-07-EM-FC</t>
  </si>
  <si>
    <t>I-HCJ-01-AA-FC-BC</t>
  </si>
  <si>
    <t>I-HCJ-01-AA-FC-IC</t>
  </si>
  <si>
    <t>I-HCJ-01-AA-FC-EE</t>
  </si>
  <si>
    <t>I-HCJ-02-LE-FC-IC</t>
  </si>
  <si>
    <t>I-HCJ-02-LE-FC-EC</t>
  </si>
  <si>
    <t>ok Nati julio</t>
  </si>
  <si>
    <t xml:space="preserve">EL HUB nace del llamado de Botnar a: reportenme mejor, y el EtoA.  A la vez, una vez puesto en marcha, Botnar (donante) hace un llamado a que sea divertido pertenecer, pues no creen que se llegue sin el proceso de construir confianza a los niveles de generación de comprensiones sistémicas que buscamos en el HUB. Tiene 3 objetivos: networking (colaborativa y trabajo conjunto). 2. Se generó conocimiento sobre 3 temas: salud mental, participación y empleo juveniles. 3. Incidencia e influencia. El HUB propuso que las mesas temáticas tuvieran una cadencia y se sugirió construir un policy brief. El HUB tiene tres mesas temáticas para generar conocimiento. Articula todas las inicativas de Botnar en Colombia (de bienestar juvenil). El HUB construyó sus propias reglas de juego (gobernanza). Esto hizo que el accionar del HUB fuera muy lento e hizo que no se llegara al avance deseado aún, que consistía en que el HUB fuese una capacidad del país que retroalimenta o es el punto de consulta y referencia, el "go to" para cualquier diseño de politica, proyecto, iniciativa para juventudes. En todas las mesas de HUB participan juventudes y la mayor proporción de participantes de las iniciativas Botnar son perfiles MEL. </t>
  </si>
  <si>
    <t xml:space="preserve">Botnar dejó de apoyar un proceso de mindgame changers. con este juego los jovenes diseñaban espacios públicos. pero la alcaldía no comprometió los recursos. La Universidad hizo bombo con el evento pero no le dio continuidad a la relación.  Era una relación valiosa porque es una Universidad pública y con jóvenes indigenas, fue un escenario de conversación con mucho potencial.EAFIT ha sido aliado difícil. Las relaciones contractuales con buenas pero la de aliado, ha sido my débil.  En la propuesta de Botnar nueva, se busca absorver cosas del HUB. </t>
  </si>
  <si>
    <t>I-HCJ-01-AA-FC</t>
  </si>
  <si>
    <t xml:space="preserve"> Los objetivos 1 y 2 (colaboración y conocimiento) se han cumplido. Se hicieron  productos de aprendizaje valiosos, de cada mesa. Pero  tomaron matices particulares en cada mesa.  Se ha construido conocimiento, pero el exceso de co-construcción (todos haciendo todo) ha impedido cumplir con el objetivo 3 de incidencia/influencia. Pero necesitamos otros perfiles más técnicos y más directivos si queremos derivar en el objetivo 3. Ninguna mesa lo realizó.  Se que sacaron 3 productos de conocimiento diferentes.  Los análisis intermedios no se están usando. Sí se usan los tres productos, pero de un modo aún incierto y limitado: un juego para la participación juvenil que invita a que cuando se necesita diseñar intergeneracional, se puede jugar mientras se diseña. es para organizaciones que apenas están considerando involucramiento juvenil. El de salud mental tiene un mapeo (cuadernillo de metodologías) o recolección de metodologías de operadores con evidencia, para trabajar retos de salud mental con jóvenes. Para organizaciones que trabajan con juventud y creen que el tema es relevante y para grupos juveniles. Hay unas apuestas de transferencia.  Hicieron un concepto de salud mental para el país y están preparando un position paper para presentar en el congreso de psiquiatría. El tercer documento es el de la mesa de empleo, en la que están: Goyn BOgotá; GOYN Barranquilla y Quiero ser digital (mesa de empleo y educación). Este fue retador, porque los proyectos de empleo que apoya Botnar son los Goyn. Entonces la mesa se concrentó en proyectos de la fundación, y estos proyectos querían debatir con otros. pero el mandato de la mesa era solo para aliados. Están generando un position paper de incidencia sobre barreraa de educación y empleo juvenil. Pero faltó la coconstrucción con otros actores, porque esos actores venían ya trabajando juntos en el marco de las iniciativas de la FC. Se hicieron 3 eventos de divulgación de conocimiento: 1 más enfocado en confianza y networking; el otro para compartir el conocimiento generado, en Armenia con la Universidad del Quindío.  Llegó Luker al evento. Y el evento fue un espacio para que los jovenes involucrados en las mesas fueran visibles: lo moderaron y facilitaron ellos mismos. Se viene el tercer evento de influencia. Se va a hacer en Bogotá. El equipo del HUB hace la propuesta sobre cómo hacerlo, pero no aporta la mirada de uso más allá de la del producto. Falta visión amplia. Natalia (FC) ha tenido que traerla. El ideal era de incidencia de alto nivel. La FC ha tenido que traer visión al HUB y la EAFIT no está aportando tanto. Hay un reto de liderazgo descentralizado: debería haber una plataforma de intercambio de aprendizajes, era responsabilidad de EAFIT y no está funcionando. Ellos no replicaron nada de lo que pasó en el 2do evento. El decano no estaba al tanto del evento (no sabía qué decir) y no se quedó. ellos eran responsables del pedazo de aprendizaje. 																																									</t>
  </si>
  <si>
    <t>I-HCJ-02-LE-FC</t>
  </si>
  <si>
    <t xml:space="preserve">Se hizo una preparación a los jovenes (de diferentes iniciativas que habían sido antes "beneficiarios"). Ya se habían formado y recibieron más formación: comunicación, escucha, conversaciones difíciles.  Trajimos jóvenes del HUB a encuentros con candidatos de la presidencia y que conocieran sus apuestas. El país de los jóvenes (caracol) posicionó agenda de los jóvenes: IA, empleo y educación. Se visibilizaron agendas desde voces juveniles . Retroalimentación en incidencia y participación juvenil dada desde la FC.  Se co-construyó un juego con actores de la mesa																																													</t>
  </si>
  <si>
    <t>I-IAD-01-LE-FC-EC</t>
  </si>
  <si>
    <t>I-IAD-01-LE-FC-BC</t>
  </si>
  <si>
    <t>I-IAD-01-LE-FC-IC</t>
  </si>
  <si>
    <t>I-IAD-01-LE-FC</t>
  </si>
  <si>
    <t xml:space="preserve">La consolidación de la propuesta de Decreto con estructura, agendas, temas y nivel nacional-local del mecanismo gobernanza multiactor del compes 4144 de IA. La consolidación se hizo con OSC de alianza por gobierno abierto, U externado, por solicitud de la presidencia.  Desde la FC hemos intencionado que el mecanismo de gobernanza incluya jóvenes, tenga agendas de educación y empleo. Que se haga realidad la instancia, es lo que se refiere a la promoción del desarrollo de la soclución. </t>
  </si>
  <si>
    <t>I-IFD-01-LE-FC-IC</t>
  </si>
  <si>
    <t>No estoy segura del ok</t>
  </si>
  <si>
    <t>I-IFD-01-LE-FC</t>
  </si>
  <si>
    <t xml:space="preserve">Dos conversaciones con financiadores y OSC: identificar brechas de apoyo a la democracia. Financiadores de democracia para entender las tendencias de financiación de democracia: y cómo atender las necesidades de intereses de juventudes.  TAI/ AVINA/ Democracia Más: evento sobre oportunidades de financiación de democracia en américa latina  </t>
  </si>
  <si>
    <t>I-LK-01-EM-FC-IC</t>
  </si>
  <si>
    <t>I-LK-02-EM-FC-IC</t>
  </si>
  <si>
    <t>Daniela envió audio por whatsapp agosto</t>
  </si>
  <si>
    <t xml:space="preserve">Frentes de acción: Generación R y Luker. desde hace 6 años trabajamos con ellos ocupacion socioemocional y la herramienta de medición de habilidades socioemocionales. PAra fortalecer procesos de desarrollo de habilidades de jovenes en media. Y la universidad en tu colegio es un modelo de Luker que se llevó a varios territorios. Generación R es un programa con un diagnóstico robusto de la juventud en el campo. Es para entender el sistema de oportunidades de juventud en lo rural. Nos hicimos socios, a través de Luker y enfocamos dos ñineas: educación para el trabajo y empleo (nosotros no nos enfocamos en emprendimiento). </t>
  </si>
  <si>
    <t xml:space="preserve">Se reesctructuró la estrategia hace dos años. A futuro se planea: Acompañar a Luker en el desarrollo de soluciones para PxR. 																							</t>
  </si>
  <si>
    <t>I-LK-01-EM-FC</t>
  </si>
  <si>
    <t xml:space="preserve">Se ha generando conocimiento a partir del acompañamiento a la creación de pilotos en formación dual. Enfocado a promover formación ágil y flexible en posmedia. Y para hacer ajustes en el sistema de intermediadores para que sean mas efectivos en lo rural. </t>
  </si>
  <si>
    <t>I-LK-02-EM-FC</t>
  </si>
  <si>
    <t xml:space="preserve">Gestion de conocimiento y aprendizaje: compartimos Luker y Corona, una apuesta por tener diagnósticos de juventud muy claros. Ellos están haciendo un diagnóstico en Manizales. Se va a hacer e IPJ, a través de cómo vamos y un informe de juventud Manizales y nosotros damos acompañamiento técnico. </t>
  </si>
  <si>
    <t>I-MPR-04-EM-FC-BC</t>
  </si>
  <si>
    <t>I-MPR-03-EM-FC-BC</t>
  </si>
  <si>
    <t>I-MPR-01-LE-FC-IC</t>
  </si>
  <si>
    <t>I-MPR-03-EM-FC-IC</t>
  </si>
  <si>
    <t>I-MPR-02-EM-FC-BC</t>
  </si>
  <si>
    <t>I-MPR-05-EM-FC-BC</t>
  </si>
  <si>
    <t>I-MPR-04-EM-FC</t>
  </si>
  <si>
    <t>Esta historia está conectada con la de Innovación para la democracia	Cami** pendiente!</t>
  </si>
  <si>
    <t xml:space="preserve">Más pago por resultados tiene 3 niveles de acción (micro, meso): En el macro quiere que colombia apropie la financiación basada por resultados.  (DNP, APC, DPS (antes)). Se organiza lo que se requiere a nivel estructural para que +pxr pueda ser utilizado en diferentes sectores por el sector público. Se conecta con offer. Porque más tiene la visión de fortalecimiento e institucionalización. Lo hizo para el compes de empleo; lo metió en PNDesarrollo. </t>
  </si>
  <si>
    <t>I-MPR-01-LE-FC</t>
  </si>
  <si>
    <t xml:space="preserve">Conversaciones con Fondo para la democracia para hablar de innovación financiera para la democracia. Se traen comprensiones de otra área. </t>
  </si>
  <si>
    <t>I-MPR-02-EM-FC</t>
  </si>
  <si>
    <t>FC administra y financia otros dos. Hemos consolidado visión de escalar otros esquemas de PXR (no solo en educación y empleo). Acompañamos la Institucionalización de innovación financiera y el fortalecimiento del ecosistema. Se impulsan challenges de productividad y empleo con la Se de desarrollo de Bog, proactioquia, confama. Se planean soluciones para empleo (no joven). Pero se estan generando evidencia para retención de talento en turismo y fomentar productividad de negocios.</t>
  </si>
  <si>
    <t>I-MPR-03-EM-FC</t>
  </si>
  <si>
    <t>Campus+ LEAD.  (Infraestructura que creó +pxr que consolida herramientas, conocimiento, acompañamiento para que el ecosistema se fortalezca (se está creando). herramientas y espacios para entender y colaborar en temas de innovación financiera y cómo diseñar herramientas. Acompañamos a fundación Santo Domingo (medio ambiente). (Se espera que habilite el ecosistema para oportunidades de ed y empleo)</t>
  </si>
  <si>
    <t xml:space="preserve">Transferencia de conocimiento y acompañamiento a orgs extrangeras. Versión Perú. </t>
  </si>
  <si>
    <t>I-MPR-05-EM-FC</t>
  </si>
  <si>
    <t>Siguen fortaleciendo capacidades de DNP para que acompañen entes territoriales para estructuración de programas y proyectos con visión de financiación basada en resultados. Y a APC para que pueda atraer recursos con esa visión y entienda cómo lo usa Colombia. Se genera conocimiento de recomendaciones para poner en marcha las estrategias. (Se espera que habilite el ecosistema para oportunidades de ed y empleo)</t>
  </si>
  <si>
    <t>I-NBR-03-LE-FC-BC</t>
  </si>
  <si>
    <t>I-NBR-02-LE-FC-BC</t>
  </si>
  <si>
    <t>I-NBR-01-LE-FC-BC</t>
  </si>
  <si>
    <t>I-NBR-01-LE-FC-IC</t>
  </si>
  <si>
    <t>CAMIIII  pendiente doble clic a FONDOS---revisar si los cambios son incipientes o ya hay evidencia!!! revisar los alcances de los cambios de la hitoria 1!!! es sobre jóvenes? o institucionales? hay evidencia de cambio?</t>
  </si>
  <si>
    <t>No se nombra el reto de implementación!!!! de la politica!!! el comité estratégico plural!!!</t>
  </si>
  <si>
    <t>I-NBR-01-LE-FC</t>
  </si>
  <si>
    <t xml:space="preserve">Se han fortalecido las capacidades para mejorar confianza y colaboración. Entre OSC; y entre institucionalidad y osc. </t>
  </si>
  <si>
    <t>I-NBR-02-LE-FC</t>
  </si>
  <si>
    <t xml:space="preserve">Mi Ciudad mi llave - Promover historias que reconozcan la agencia juvenil de la ciudad.  </t>
  </si>
  <si>
    <t>I-NBR-03-LE-FC</t>
  </si>
  <si>
    <t xml:space="preserve">Mapeo de organizaciones de jóvenes o que trabajan por la juventud.  </t>
  </si>
  <si>
    <t>I-OFF-02-ED-FC-BC</t>
  </si>
  <si>
    <t>I-OFF-02-ED-FC-IC</t>
  </si>
  <si>
    <t>I-OFF-01-ED-FC-BC</t>
  </si>
  <si>
    <t>I-OFF-01-ED-FC-IC</t>
  </si>
  <si>
    <t>Revisada historia 1, pendiente  con RAFA</t>
  </si>
  <si>
    <t>I-OFF-01-ED-FC</t>
  </si>
  <si>
    <t xml:space="preserve">Fondo de pago por resultados en educación para cerrar brechas de bilinguismo y mate (antioquia y manizales). Luker, fraternidad medellín y FC. Un actor externo diseña e implementa el reto y define las evidencias, pero todos participamos en el diseño y el proceso. El actor externo guía. Las soluciones que se promueven son colectivas.  Ya estamos de acuerdo en ir todos juntos, pero el reto hasta ahora se está diseñando.                                                                                                                                                                                 </t>
  </si>
  <si>
    <t>I-OFF-02-ED-FC</t>
  </si>
  <si>
    <t xml:space="preserve">PxR como palanca para mejorar eficacia en educación: que las SE y gobiernos (y otros) comprendan qué es pxr y que mejore transformaciones. Asesoría estratégica y de política pública al fondo (canadá, santo domingo y min educ) que tiene dos retos andando: barú 1-3 y 9no de aprendizajes fundamentales. relevancia y pertinencia de pagar por resultados en educación para mejor uso de recursos. Que los actores públicos y privados se den cuenta de la importancia de pagar por resultados en educación: estamos gastando mucha plata en educación y no mejorando resultados. entonces cómo invertimos con mejores efectos o transformaciones. Al haber conocimiento básico, hay desarrollo de capacidades de liderazgo colaborativo público y privado, nacional y/o local. eso implica prácticas colaborativas. Rol de consultores de la FC. </t>
  </si>
  <si>
    <t>I-OSO-01-ED-FC-EE</t>
  </si>
  <si>
    <t>I-OSO-02-ED-FC-BC</t>
  </si>
  <si>
    <t>I-OSO-01-ED-FC-BC</t>
  </si>
  <si>
    <t>I-OSO-03-ED-FC-IC</t>
  </si>
  <si>
    <t>Lau ok agosto 10</t>
  </si>
  <si>
    <t xml:space="preserve">Estamos en estrategia de salida. No lo vemos de la estrategia 2030. 10 años de implementación de la metodología, y no está haciendo un cambio sistémico (impacto mínimo respecto al cambio deseado). Estábamos teniendo un rol de primer piso. Y estaba habiendo dependencia económica 100% de la FC. </t>
  </si>
  <si>
    <t xml:space="preserve">Alianza con RCN: recoger info en colegios para caracterizar los intereses de los jóvenes y hacer ferias (entretenidas y coherentes) de oferta formativa y laboral. La metodología se adapta. 																							</t>
  </si>
  <si>
    <t>I-OSO-01-ED-FC</t>
  </si>
  <si>
    <t xml:space="preserve">Acompañamos a evaluar la solución. Proveemos las mediciones de entrada y salida para implementar la metodología en aula, para los aliados más comprometidos con la implementación. La solución está diseñada. Respecto a la media, la OSO es una herramienta para la media integral. No es la unica ni la mejor. solo un camino. No estamos usando los datos que generamos, no sabemos el uso que se les da. No son datos representativos. Se hizo un salto de socioocupacional a la capacidad es construir proyecto de vida (como me veo como ciudadano, mi relacion con el entorno, mi participación política, etc.). La OSO es una parte del proyecto de vida. Es parte de algo más grande. </t>
  </si>
  <si>
    <t>I-OSO-02-ED-FC</t>
  </si>
  <si>
    <t xml:space="preserve">Estamos retroalimentando el diseño nuevo, que está haciendo una organización que se basó en nuestra metodología (que es virtual y usa IA).   </t>
  </si>
  <si>
    <t>I-OSO-03-ED-FC</t>
  </si>
  <si>
    <t xml:space="preserve">Diseñamos la siguiente etapa para promover liderazgos descentralizados y escalar la implementación de manera descentralizada. ¿Qué tan eficaces estamos siendo actuando colectivamente al implementar la metodología?  Cambiar de rol de primer piso a nuestros roles estratégicos. Hay un staff definido a quienes vamos a fortalecer. </t>
  </si>
  <si>
    <t>H-FCL-01-LE-FC-IC</t>
  </si>
  <si>
    <t>H-FCL-02-LE-FC-BC</t>
  </si>
  <si>
    <t>H-FCL-02-LE-FC-IC</t>
  </si>
  <si>
    <t>Revisar si hay evidencia de Todo!	Cami**</t>
  </si>
  <si>
    <t>OJO esta acción se encarga de un supuesto!!!!</t>
  </si>
  <si>
    <t>H-FCL-01-LE-FC</t>
  </si>
  <si>
    <t xml:space="preserve">Se hizo un mapeo y se vio una brecha en el ecosistema que fortalece liderazgo en jóvenes (forman y no se sabe cómo) y quienes empiezan a formar no saben cómo ni cómo medir.  Es un documento de excel con análisis y gráficas.  Se hizo análisis del comportamiento del sistema. Y así supimos cómo reenfocar el marco y otras acciones.                                                                                                                                                                             </t>
  </si>
  <si>
    <t>H-FCL-02-LE-FC</t>
  </si>
  <si>
    <t xml:space="preserve">Se hizo un Marco integrado de competencias para formar liderazgo e innovación pública con instrumentos de medición de competencias y con herramienta de priorización según el contexto. Con apoyo U. Andes, se estandarizó el marco homologado o integrado. Esta marco se iteró en octubre (nuestra barranquilla). Como primer piloto: La org. recibió los instrumentos y están usando y midiendo Smurfitwestrock. El MArco es bien público y la FC promueve su pilotaje.                                                                                                                                                                                                        </t>
  </si>
  <si>
    <t>H-ME-01-LE-FC-IC</t>
  </si>
  <si>
    <t>H-ME-01-LE-FC-EC</t>
  </si>
  <si>
    <t>H-ME-01-LE-FC-BC</t>
  </si>
  <si>
    <t>H-ME-01-LE-FC</t>
  </si>
  <si>
    <t xml:space="preserve">Se hizo primero una encuesta a la ciudadanía y a los candidatos (es privada la info. Luego se publicará).  Luego se construyó una herramienta. Ambas dieron evidencia de cómo los jóvenes ideológicamente se movían y sobre 26 temas relativos a asuntos económicos y sociales. Con esa data: estructuramos campañas digitales para movilizar el voto. La información se presentó a la Junta directiva para desplegar tácticas y enfocar un grupo poblacional. La info se compartió con la alianza por la democracia. Espectador, cifras y conceptos y fescol. Genera evidencias y se busca analizar los datos y también dar recomendaciones al gobierno. Para promover voto informado: deliberacion ciudadana sobre agendas de interes en temas economicos y sociales en el marco del proceso electoral. </t>
  </si>
  <si>
    <t>H-R-01-EM-FC-BC</t>
  </si>
  <si>
    <t>Lau agosto ok</t>
  </si>
  <si>
    <t xml:space="preserve">Aún está con la mirada en diseño y operación de soluciones. Se ha implementado en los ultimos años. Estamos viendo si es escalable. Depende de un operador y un financiador. Reflexión sobre sostenibilidad. </t>
  </si>
  <si>
    <t>H-R-01-EM-FC</t>
  </si>
  <si>
    <t xml:space="preserve">Los aliandos de Recarga crean soluciones para la recuperación de habilidades esenciales en 10 colegios. No enfocado en primaria y básica, sino para quienes llegan con resagos. Fundación Corona y Corpoeducación diseñaron y Corpoeducación es quien implementa. La FC asiste a espacios técnicos de seguimiento a la implementación. Atiende a una necesidad que no estaba atendida. Es innovadora. No sabemos si es eficaz. No tenemos info suficiente para saber si funciona o no. </t>
  </si>
  <si>
    <t>Daniela ok</t>
  </si>
  <si>
    <t>B-PCT-01-EM-FC-EC</t>
  </si>
  <si>
    <t>B-PCT-01-EM-FC-IC</t>
  </si>
  <si>
    <t>B-PCT-01-EM-FC</t>
  </si>
  <si>
    <t>Medición de productividad asociada al talento humano  (relación con historia: Producir conocimiento: para hacer rigurosa la medición de productividad: pedagogía para evaluar. La alianza cuenta con expertos, a partir de unos lineamientos.  Queremos lograr que las empresas tomen un rol diferente a través de incentivos.</t>
  </si>
  <si>
    <t>B-TCL-01-LE-FC-IC</t>
  </si>
  <si>
    <t>B-TCL-02-LE-FC-IC</t>
  </si>
  <si>
    <t>B-TCL-03-LE-FC-EC</t>
  </si>
  <si>
    <t>B-TCL-03-LE-FC-IC</t>
  </si>
  <si>
    <t>armando  ok y Tati pend</t>
  </si>
  <si>
    <t>B-TCL-01-LE-FC</t>
  </si>
  <si>
    <t xml:space="preserve">Radiografía de libre elección desde ciencias del comportamiento: motivación frente al voto. entender el contexto: quién hace qué: potenciales aliados y no duplicar  </t>
  </si>
  <si>
    <t>B-TCL-02-LE-FC</t>
  </si>
  <si>
    <t xml:space="preserve">Jóvenes en sociedad y cruce de datos de encuestas para tener más evidencia contrastada. Experimentos para crear datos para tomar deciciones de tácticas para incidir. El análisis de swayable. Evento de socialización del experimento con aliados/ co-creación para traducir resultados en tácticas accionables conjuntamente  </t>
  </si>
  <si>
    <t>B-TCL-03-LE-FC</t>
  </si>
  <si>
    <t>Contenedores narrativos a partir de los resultados de los experimentos: hojas de ruta para movilización de voto informado, joven, confianza en el proceso electoral, desescalamiento del tono. Campañas digitales: proceso electoral en términos de confianza: respeto las reglas del juego. Campañas digitales:desescalar el tono: el país que compartimos. Campañas digitales con slogan propio: motivación del voto entre FC e iniciativas (1era vuelta) Somos votantes. El país de los jóvenes: caracol/// RCN (voto informado) hablar con candidatos. Cifras muestran aumento de votantes. Voto informado: hay cifras de una consulta. Desescalamiento en el tono de los candidatos presidenciales</t>
  </si>
  <si>
    <t>Tati ok</t>
  </si>
  <si>
    <t>Esto se dejó en pausa por momento coyuntural de elecciones</t>
  </si>
  <si>
    <t>M-AFE-03-LE-FC-EC</t>
  </si>
  <si>
    <t xml:space="preserve"> M-AFE-03-LE-FC-IC</t>
  </si>
  <si>
    <t>M-AFE-04-LE-FC-EC</t>
  </si>
  <si>
    <t>M-AFE-01-ED-FC-EC</t>
  </si>
  <si>
    <t>M-AFE-02-ED-FC-EC</t>
  </si>
  <si>
    <t>M-AFE-02-ED-FC-IC</t>
  </si>
  <si>
    <t>M-AFE-01-ED-FC</t>
  </si>
  <si>
    <t xml:space="preserve">La membresía apoya la campaña de acciones colectivas  </t>
  </si>
  <si>
    <t>M-AFE-02-ED-FC</t>
  </si>
  <si>
    <t xml:space="preserve">Noción de coaliciones para metas de transformación sistémica (alianza por la transformación media con Natura)  (aprender más: coalición para mejorar aprendizajes con tecnologías)  </t>
  </si>
  <si>
    <t>M-AFE-03-LE-FC</t>
  </si>
  <si>
    <t xml:space="preserve">Se hizo un artículo para una revista de la AFE sobre "El país de los jóvenes" (caracol).  Visibilidad de tácticas: en sus publicaciones estuvo el país de los jóvenes, los resultados. Visibilizó el trabajo de la fundación en democracia frente a otros  </t>
  </si>
  <si>
    <t>M-AFE-04-LE-FC</t>
  </si>
  <si>
    <t xml:space="preserve">La AFE, como miembro de la Alianza por la democracia: permitió atraer actores privados a la iniciativa. Y atraer recursos. </t>
  </si>
  <si>
    <t>M-AFS-01-ED-FC-IC</t>
  </si>
  <si>
    <t>M-AFS-02-ED-FC-IC</t>
  </si>
  <si>
    <t>M-AFS-03-ED-FC-IC</t>
  </si>
  <si>
    <t>Lau ok agosto    Rafa?</t>
  </si>
  <si>
    <t xml:space="preserve">La alianza estaba como "despelotada". Ya hay leyes que tienen posicionada la agenda. </t>
  </si>
  <si>
    <t>M-AFS-01-ED-FC</t>
  </si>
  <si>
    <t xml:space="preserve">Hicimos una jornada, de hecho, financiada por nosotros para planear estratégicamente dónde está el diferencial, qué es lo que esta alianza puede hacer, que no se puede hacer en otro lugar. Tal vez las conclusiones es que apunta a construir red y a fortalecer la evidencia de lo que se está haciendo en el país, de todo lo que muchos hacen en aprendizaje socioemocional. también también de los factores: qué no está pasando; qué sí está pasando... funciona parecido al HUB de Nati, sólo que es más en aprendizajes socioemocionales que es como fortalecer capacidades. Revisamos  la gobernanza,  para hacer que esa alianza internamente para enfocarla mejor; encuentre un propósito consistente y creo que eso tiene que ver con posicionar con promover acciones colectivas. Porque pues arreglar la gobernanza tiene que ver con eso y está proyectado pues porque está revisando la pregunta si podemos o no fortalecer capacidades pero no sé si son de Liderazgo (posible). 
"																							</t>
  </si>
  <si>
    <t>M-AFS-02-ED-FC</t>
  </si>
  <si>
    <t xml:space="preserve">La alianza buscará generar conocimiento con evidencia para promover acciones colectivas que lleven a un sistema más eficaz. Ya hay una agenda, legal, pero no necesariamente es eficaz. </t>
  </si>
  <si>
    <t>M-AFS-03-ED-FC</t>
  </si>
  <si>
    <t xml:space="preserve">La alianza implementa una iniciativa de apoyar la implementación en IE y SE de la ley de salud mental. Está haciendo diseño de herramientas para acompañamiento. </t>
  </si>
  <si>
    <t>M-CL-01-EM-FC-IC</t>
  </si>
  <si>
    <t>M-CL-06-LE-FC-IC</t>
  </si>
  <si>
    <t>M-CL-01-EM-FC-EC</t>
  </si>
  <si>
    <t>M-CL-05-LE-FC-IC</t>
  </si>
  <si>
    <t>M-CL-02-LE-FC-EC</t>
  </si>
  <si>
    <t>M-CL-07-LE-FC-IC</t>
  </si>
  <si>
    <t>M-CL-03-LE-FC-IC</t>
  </si>
  <si>
    <t>M-CL-04-LE-FC-IC</t>
  </si>
  <si>
    <t xml:space="preserve">cómo visibilizar en la estrategia los cambios de la agenda de incidencia??? los 10??? cuáles están y cuáles no???	el premio de la historia 6 es el mismo de la 1? o la 3 o la 4?	Necesitamos recoger mejor evidencia de los cambios de la historia 1	(revisar con quién vi) </t>
  </si>
  <si>
    <t>M-CL-01-EM-FC</t>
  </si>
  <si>
    <t xml:space="preserve">Hacer formularios es una forma de posicionar agenda. Incidir en la info que recogen del premio respecto a pol públicas de apren escenciales y politica integral. Colombia líder pone a disposición información detallada que tiene por sus premios. Para incidir en agendas locales. Nos va a permitir comprender el sistema  </t>
  </si>
  <si>
    <t>M-CL-02-LE-FC</t>
  </si>
  <si>
    <t xml:space="preserve">El formulario permite visibilizar esfuerzos de entidades  </t>
  </si>
  <si>
    <t>M-CL-03-LE-FC</t>
  </si>
  <si>
    <t xml:space="preserve">Equipos FC acompañan la revisión, complemento y ajustes de formulario de SUP de la prob. para garantizar que se incluyan las 10 agendas de incidencia de la Fundación y preguntas de jóvenes (poblacionales y demográficas). El premio es la iniciativa. el resultado es un instrumento coherente con las agendas. Lo que resuelve el premio: reconocimiento  </t>
  </si>
  <si>
    <t>M-CL-04-LE-FC</t>
  </si>
  <si>
    <t xml:space="preserve">Se lanza red de mejores gobernantes (instancia de intercambio de experiencias y nuevas prácticas)  </t>
  </si>
  <si>
    <t>M-CL-05-LE-FC</t>
  </si>
  <si>
    <t xml:space="preserve">Se busca que las administraciones busquen entender sus datos y cómo presentarlos  </t>
  </si>
  <si>
    <t>M-CL-06-LE-FC</t>
  </si>
  <si>
    <t xml:space="preserve">A través del premio se busca incidir en agendas para que incluyan generar oportunidades de educación, empleo e incidencia  </t>
  </si>
  <si>
    <t>M-CL-07-LE-FC</t>
  </si>
  <si>
    <t xml:space="preserve">Se evaluó qué hizo el gobierno  </t>
  </si>
  <si>
    <t>M-CPL-01-LE-FC-IC</t>
  </si>
  <si>
    <t>M-CPL-01-LE-FC-BC</t>
  </si>
  <si>
    <t>M-CPL-03-LE-FC-IC</t>
  </si>
  <si>
    <t>M-CPL-03-LE-FC-EC</t>
  </si>
  <si>
    <t>M-CPL-02-LE-FC-EC</t>
  </si>
  <si>
    <t>La historia 2 necesita más info! quiénes y cuándo y evidencia   Revisar si la historia 3 es la misma 1 o 2...    Revisar si el proceso de la historia 1 es el mismo que llevó a la herramienta o si son dos historias diferentes</t>
  </si>
  <si>
    <t>M-CPL-01-LE-FC</t>
  </si>
  <si>
    <t xml:space="preserve">Potencial de foco en jóvenes y liderazgo corresponsable. Queda la herramienta, es probable que la comunidad cierre. Potencial de análisis sistémico. Se invitaron experiencias de liderazgo colaborativo del país, interpelar, escuchar y construir saberes en función de ellas  </t>
  </si>
  <si>
    <t>M-CPL-02-LE-FC</t>
  </si>
  <si>
    <t xml:space="preserve">Fortalecer capacidades de liderazgo colaborativo (actores/jóvenes)  </t>
  </si>
  <si>
    <t>M-CPL-03-LE-FC</t>
  </si>
  <si>
    <t xml:space="preserve">Personas de 5 organizaciones que trabajan en liderazgo contribuyeron y colaboraron con preguntas y saberes para generar conocimiento de liderazgo colaborativo  </t>
  </si>
  <si>
    <t>M-ExE-01-ED-FC-EC</t>
  </si>
  <si>
    <t>M-ExE-03-ED-FC-EC</t>
  </si>
  <si>
    <t>M-ExE-02-ED-FC-BC</t>
  </si>
  <si>
    <t>falta evidencia de la historia 2	rafa-*</t>
  </si>
  <si>
    <t>M-ExE-01-ED-FC</t>
  </si>
  <si>
    <t xml:space="preserve">Incidencia en agendas educativas de campañas presidenciales:publicando un libro sobre dimensiones urgentes para cambios significativos con recomendaciones presentadas a opinión pública. Movió a exe para voto informado. </t>
  </si>
  <si>
    <t>M-ExE-02-ED-FC</t>
  </si>
  <si>
    <t xml:space="preserve">Convertimos la membresía paga y dos ejercicios clave de posicionamiento de agenda. </t>
  </si>
  <si>
    <t>M-ExE-03-ED-FC</t>
  </si>
  <si>
    <t xml:space="preserve">Seguimiento de lo que pasaba en congreso: nos permitió reaccionar a un proyecto de ley con un plan de educación decenal vinculante con agenda que condicionara planes de desarrollo. Entendimos la agenda educativa!!! y lo monitoreamos  </t>
  </si>
  <si>
    <t>M-LT-01-EM-FC-IC</t>
  </si>
  <si>
    <t>M-LT-02-EM-FC-BC</t>
  </si>
  <si>
    <t>veriicar si historia 2 tiene cambios o solo intención	Revisar si historia 1 y 2 son las 3, 4 y 5 mejor contadas	completar con Daniel	La historia 1 esta incompleta... o es una duda más que historia	Dejarla asociada a Dir ejecutiva</t>
  </si>
  <si>
    <t>Nos llevamos dos historias a AEJ</t>
  </si>
  <si>
    <t>M-LT-01-DE-FC</t>
  </si>
  <si>
    <t xml:space="preserve">Cómo podemos tener mejores comprensiones del ecosistema de innovación en LATAM en torno a financiación: family offices, sector productivo, y sus roles catalíticos. Aún no con foco en juventud, pero identificamos pares en temas de innovación y financiación. </t>
  </si>
  <si>
    <t>M-LT-02-DE-FC</t>
  </si>
  <si>
    <t>Es un espacio en el que traemos agendas. Por ejemplo: democracia. Este año queremos posicionar la agenda de juventud</t>
  </si>
  <si>
    <t>Daniel</t>
  </si>
  <si>
    <t>M-PP-01-LE-FC-IC</t>
  </si>
  <si>
    <t>M-PP-02-LE-FC-IC</t>
  </si>
  <si>
    <t>M-PP-01-LE-FC</t>
  </si>
  <si>
    <t xml:space="preserve">A partir de testeos locales, comparaciones entre metodologías experimentales sobre temas clave para la medición de la democracia y el acceso a información y aprendizajes globales en esta materias.  </t>
  </si>
  <si>
    <t>M-PP-02-LE-FC</t>
  </si>
  <si>
    <t xml:space="preserve">Alianza global (40 org internacionales) para entender cómo trabajar cambios de narrativa en torno a democracia. Generar narrativas para proteger y fortalecer la democracia. Estudios  </t>
  </si>
  <si>
    <t>M-DDF-01-EM-FC-IC</t>
  </si>
  <si>
    <t>M-DDF-01-EM-FC-BC</t>
  </si>
  <si>
    <t xml:space="preserve">Son más de 63 actores. </t>
  </si>
  <si>
    <t>M-DDF-01-EM-FC</t>
  </si>
  <si>
    <t xml:space="preserve">La estrategia hizo un documento de lineamientos de política para el nuevo gobierno en educación posmedia. Se entregó a candidatos. Se hicieron reuniones para explicarlo. Actualmente se están teniendo reuniones con MIN ed. designado. En estos espacio estuvo la FC a través de la representante de la mesa Natalia Ariza. Hubo dos eventos académicos. Se hizo una web. Se ha avanzado en uno de los cambios, cambio, en el sentido de que ya se está hablando del tema, hay qués identificados, cómos sugeridos, pero aún falta concretar y proponer los cambios que implica el diseño. Pareciera que este gobierno se va a enfocar en lo urgente. Ya se reconoce la relevancia del tema. </t>
  </si>
  <si>
    <t>ID_Historia</t>
  </si>
  <si>
    <t>Micro-narrativa</t>
  </si>
  <si>
    <t>Rol Activado (Fila) de la iniciativa Y/o de la FC</t>
  </si>
  <si>
    <t>Tipo de Cambio (Columna)</t>
  </si>
  <si>
    <t>Historia Corta (acción)</t>
  </si>
  <si>
    <t>Historia corta (Cambio)</t>
  </si>
  <si>
    <t>Fuente de Evidencia (Soporte)</t>
  </si>
  <si>
    <t>Tipo de Fuerza Ricigliano (Llenado por A&amp;A posterior)</t>
  </si>
  <si>
    <r>
      <rPr>
        <b/>
        <sz val="11"/>
        <color theme="1"/>
        <rFont val="Google Sans"/>
      </rPr>
      <t>Nivel de Aceptación de la Agenda en el Contexto:</t>
    </r>
    <r>
      <rPr>
        <sz val="11"/>
        <color theme="1"/>
        <rFont val="Google Sans Text"/>
      </rPr>
      <t xml:space="preserve"> [Bajo] [Medio] [Alto]</t>
    </r>
  </si>
  <si>
    <r>
      <rPr>
        <b/>
        <sz val="11"/>
        <color rgb="FF000000"/>
        <rFont val="Google Sans Text"/>
      </rPr>
      <t>Nivel de esfuerzo percibido:</t>
    </r>
    <r>
      <rPr>
        <sz val="11"/>
        <color rgb="FF000000"/>
        <rFont val="Google Sans Text"/>
      </rPr>
      <t xml:space="preserve"> [Bajo] [Medio] [Alto]</t>
    </r>
  </si>
  <si>
    <t>Acta de comité de TH y vacantes en Web.</t>
  </si>
  <si>
    <t>Actitudinal / Transaccional</t>
  </si>
  <si>
    <t>Fecha</t>
  </si>
  <si>
    <t>Fuente</t>
  </si>
  <si>
    <t>Historia vinculada</t>
  </si>
  <si>
    <t>Cambios y/o acciones relacionadas</t>
  </si>
  <si>
    <t>Áreas involucradas</t>
  </si>
  <si>
    <t>Temas generales de reflexión</t>
  </si>
  <si>
    <t>Observación/reflexión</t>
  </si>
  <si>
    <t>Acción/momento de seguimiento</t>
  </si>
  <si>
    <t>Desarrollo de capacidades de liderazgo; posicionamiento de agendas</t>
  </si>
  <si>
    <t>Quienes le apunten a este cambio</t>
  </si>
  <si>
    <t xml:space="preserve">Liderazgos </t>
  </si>
  <si>
    <t xml:space="preserve">Hay diferencias en la forma de responder cuando se convoca bajo la figura de co-responsabilidad de unos y de obligación de otros. 																						</t>
  </si>
  <si>
    <t>Hacer seguimiento con fuente sobre consecuencias y explicaciones, en un espacio de bitácora</t>
  </si>
  <si>
    <t>Rafael y Laura</t>
  </si>
  <si>
    <t>Conexiones entre roles; generación de conocimiento; comprensiones sistémicas</t>
  </si>
  <si>
    <t>De oportunidad, TC, y A&amp;A</t>
  </si>
  <si>
    <t>Roles</t>
  </si>
  <si>
    <t>La acción de generación de conocimiento podría permitir generar comprensiones sistémicas si se analiza de un modo particular o con un foco particular la información</t>
  </si>
  <si>
    <t>Sense making y revisión de la estrategia</t>
  </si>
  <si>
    <t>I-OFF-03-ED-FC</t>
  </si>
  <si>
    <t>Conexiones entre roles; generación de conocimiento; capacidades de liderazgo y Asesorías</t>
  </si>
  <si>
    <t xml:space="preserve">La acción de generación de conocimiento podría permitir generar liderazgos descentralizados, mediante el rol de asesores y/o acompañantes expertos de procesos liderados por otros. </t>
  </si>
  <si>
    <t>Conexiones entre iniciativas y áreas de oportunidad</t>
  </si>
  <si>
    <t>Educación y libre elección</t>
  </si>
  <si>
    <t>Articulación de portafolio</t>
  </si>
  <si>
    <t>Esta historia de ExE termina incidiendo en voto informado</t>
  </si>
  <si>
    <t>Johana y Dani</t>
  </si>
  <si>
    <t>Empleo y generación de conocimiento</t>
  </si>
  <si>
    <t xml:space="preserve">Empleo </t>
  </si>
  <si>
    <t>Roles
Articulación de portafolio: productividad</t>
  </si>
  <si>
    <t>La fundación cumple un rol particular de intermediador para contratar. Lo que se genera es una herramienta que mide productividad. No es claro cómo la herramienta le apunta a un cambio y a cuál</t>
  </si>
  <si>
    <t>I-FD-04-EM-FC</t>
  </si>
  <si>
    <t xml:space="preserve">El ideal es que no todo pase por la fundación... hay unos que avanzan por su cuenta!!! no SABEMOS.  Se aprende haciendo y generando evidencia  </t>
  </si>
  <si>
    <t>Atem se conecta con colombia líder en incidencia de agenda</t>
  </si>
  <si>
    <t>Cuál es nuestra estrategia de salidaa. Cómo decimos no?</t>
  </si>
  <si>
    <t>Alianza x la Ed</t>
  </si>
  <si>
    <t>Cómo atender los retos de gobernanza???</t>
  </si>
  <si>
    <t>C. Bog</t>
  </si>
  <si>
    <t>Qué tipos de liderazgo, en qué momentos son útiles?</t>
  </si>
  <si>
    <t>Cuándo una colaboración funciona y cuándo no?</t>
  </si>
  <si>
    <t>Armando y Diana</t>
  </si>
  <si>
    <t xml:space="preserve">Generación de conocimiento, posicionamiento de agendas y desarrollo de soluciones para el cambio: Articular actores de sociedad civil para blindar la democracia. </t>
  </si>
  <si>
    <t>Estrategia</t>
  </si>
  <si>
    <t>Articulación de actores de sociedad civil para blindar la democracia: </t>
  </si>
  <si>
    <t>Balance, sense making y prueba de estrategia</t>
  </si>
  <si>
    <t>Tati y Cami</t>
  </si>
  <si>
    <t>I-GBR-01-LE-FC</t>
  </si>
  <si>
    <t>Libre elección e incidencia</t>
  </si>
  <si>
    <t xml:space="preserve">Desafíos:Retos de convocatoria, asistencia y permanencia.  </t>
  </si>
  <si>
    <t>I-AD-01-LE-FC; I-AD-02-LE-FC; I-AD-04-LE-FC; I-AD-06-LE-FC; I-AD-06-LE-FC; I-AD-07-LE-FC; I-AD-08-LE-FC; H-ME-01-LE-FC</t>
  </si>
  <si>
    <t>Desescalar la violencia verbal; Incidencia en cuidado de la democracia y voto juvenil</t>
  </si>
  <si>
    <t>Armando y Tati</t>
  </si>
  <si>
    <t>Desarrollo de capacidades de liderazgo y fortalecimiento de capacidades</t>
  </si>
  <si>
    <t>Aprendizaje sobre roles y estrategia</t>
  </si>
  <si>
    <t>Sería muy bueno comprender cómo se fue generando la autonomía de la gobernanza de los Como Vamos</t>
  </si>
  <si>
    <t>I-MPR-01-EM-FC; I-IFD-01-LE-FC</t>
  </si>
  <si>
    <t xml:space="preserve">Efectividad y cuidado de la democracia mediante financiación innovadora. </t>
  </si>
  <si>
    <t>Aprendizaje entre áreas y acciones internas</t>
  </si>
  <si>
    <t xml:space="preserve">Se hace lo mismo en las dos historias de MPxR y de Innovación financiera para la democracia....: conversaciones y aprendizaje conjunto (con actores aliados). También se traen aprendizajes de un área a otra. </t>
  </si>
  <si>
    <t>B-TCI</t>
  </si>
  <si>
    <t>Iniciativas sin avances significativos</t>
  </si>
  <si>
    <t>Se dejó en pausa por priorización de coyuntura</t>
  </si>
  <si>
    <t>M-AFE-03-ED-FC; AD</t>
  </si>
  <si>
    <t>Promover acciones colectivas; generar colaboración</t>
  </si>
  <si>
    <t>Aprendizaje entre áreas; articulación del portafolio; cruces o coincidencias de iniciativas; resultados no esperados; divulgación de conocimiento esuna forma de invitar a acción conjunta</t>
  </si>
  <si>
    <t>Las campañas permite visibilizar lo que hace la fundación y su experticia. Se refieren las mismas campañas en ambas iniciativas</t>
  </si>
  <si>
    <t>Se reportan cambios en aumento de voto, voto informado y en desescalamiento del tono. Pero necesitamos entender la contribución! este es un candidato a doble clic!!!</t>
  </si>
  <si>
    <t>Cuál es el lugar de la asesoría técnica, por ejemplo, a documentos de política pública? depende de para qué se haga? o del tema o intención del documento?</t>
  </si>
  <si>
    <t xml:space="preserve">I-GBG-05-EM-FC																							</t>
  </si>
  <si>
    <t>Roles: financiador!!! no está puesto explícitamente en dónde va y cómo es diferente. hay reflexiones sobre los juegos de poder y cómo facilita o dificulta cambios!!! es una área de aprendizaje</t>
  </si>
  <si>
    <t xml:space="preserve">AyC's. Modelo diferente sobre el que se ha generado evidencia para conseguir resultados: formación larga y posmedia. como palanca para vinculación laboral. Jugamos rol como inversionistas. 																								</t>
  </si>
  <si>
    <t xml:space="preserve">M-LT-03-EM-FC (y el resto de historias de LT																								</t>
  </si>
  <si>
    <t xml:space="preserve">Estas historias de innovación, además de colaboración y empleo, buscan innovar en financiación y aprender del ecosistema... permiten posicionar agendas. </t>
  </si>
  <si>
    <t xml:space="preserve">Posicionamiento de agenda; acciones colectivas; promoción de acciones colaborativas; desarrollo de capacidades de liderazgo descentralizado; co-crean con las juventudes; generación de conocimiento. </t>
  </si>
  <si>
    <t>LE y A&amp;A</t>
  </si>
  <si>
    <t xml:space="preserve">Roles, colaboración y liderazgo, tensiones de gobernanza y formas de relacionamiento: contratación vs alianza. El rol de la FC como aportante de visión estratégica. </t>
  </si>
  <si>
    <r>
      <rPr>
        <sz val="11"/>
        <color rgb="FF000000"/>
        <rFont val="Aptos Narrow"/>
      </rPr>
      <t xml:space="preserve">Cómo no monopolizamos la conversación como fundación)? 
los ejercicios de colaboración: llevan mucho tiempo. necesitamos aprender de colaboración ágil. cómo hacemos un balance entre el top-down y el bottom-up. pero las conversaciones son desniveladas, dependen de quién se siente a conversar. Ojo, porque esta mirada de la fundación agrega, pero le requiere liderar. </t>
    </r>
    <r>
      <rPr>
        <sz val="11"/>
        <color rgb="FF4EA72E"/>
        <rFont val="Aptos Narrow"/>
      </rPr>
      <t>OJO: para balance: las iciativas con retos con visiones altas, les cuesta sostenerse y la fundación corona se espera que termine liderándolo.</t>
    </r>
    <r>
      <rPr>
        <sz val="11"/>
        <color rgb="FF000000"/>
        <rFont val="Aptos Narrow"/>
      </rPr>
      <t xml:space="preserve"> y esto se conecta con quiénes participan en lo que convocamos. No son todos los perfiles. por ejemplo, en este caso no son MEL. En qué hay que colaborar?  se conecta con las reflexiones de colaboración y de colectivo y de sostenibilidad y descentralización.</t>
    </r>
  </si>
  <si>
    <t xml:space="preserve">Posicionamiento de agenda; acciones colectivas; promoción de acciones colaborativas; desarrollo de capacidades de liderazgo descentralizado; generación de conocimiento. </t>
  </si>
  <si>
    <t>Roles,  El rol de la FC como aportante de visión estratégica. El uso del conocimiento para incidir. restos</t>
  </si>
  <si>
    <t>hace falta hacer más explítico el uso! quién, para qué, cuando?</t>
  </si>
  <si>
    <t xml:space="preserve">Contratación y roles con aliados. </t>
  </si>
  <si>
    <t xml:space="preserve">OJO: será mejor el rol de liderar y que EAFIT sea contratista? </t>
  </si>
  <si>
    <t>Oportunidad de medir mejor historia 4
La 4, es una práctica colaborativa en sí misma, por tanto, genera el cambio transversal de colaboración: no se había hecho antes. PERO... es parte de la discusión de acción colectiva- colaboración</t>
  </si>
  <si>
    <t>I- AIL 01 y 02</t>
  </si>
  <si>
    <t xml:space="preserve">Reflexión: el relacionamiento con los actores cambia, no en respuesta al core de la iniciativa, sino porque nos interesa estar en relación con algunos de los Aliados. Con quienes puedo trabajar en otras cosas: ANDI. PROMIGAS, PNUD. La mantenemos viva en función del relacionamiento. Cómo mutamos hacia una Alianza diferente? Lo que nos aporta, ¿lo podemos conseguir de otro modo? ¿La apuesta es mantenerla para mantener la relación? Qué le pedimos a la Iniciativa? Qué no? </t>
  </si>
  <si>
    <t xml:space="preserve">Reflexiones: sobre falta de capacidades o capacidades dispares como fuente que influye en la lentitud de la ejecución de los ejes que se quieren cubrir. Puede tener que ver con lo reflexivo. </t>
  </si>
  <si>
    <t>lau</t>
  </si>
  <si>
    <t>Aprender más</t>
  </si>
  <si>
    <t>poner en reflexión la conexión entre agendas y acciones colectivas</t>
  </si>
  <si>
    <t>dani</t>
  </si>
  <si>
    <t xml:space="preserve">¿Cómo se acompaña a desarrollar capacidades? ¿Cómo entendemos la "transferencia" desde la mirada actual de cambio? 
Falta aún un camino hacia consolidar las capacidades para que lo hagan mejor cada vez. (Pregunta de su impacto para indicador de alto nivel). </t>
  </si>
  <si>
    <t>Se necesita CMP para lograr los avances en territorio que queremos?        Riesgo de uso del nombre de la Fundación y de acción con daño al desgastar a los empresarios        ¿Cuál es nuestra apuesta ahí? Definir la apuesta de manera ampliada.         Toca mejorar estas historias y evidencias...        Suba tiene todas las condiciones donde la Fundación puede agregar valor. Es un buen laboratorio.</t>
  </si>
  <si>
    <t>Reflexión sobre dónde está en la estrategia este aprendizaje de financiación y el foco en juventud (eficacia?</t>
  </si>
  <si>
    <t>colombia líder</t>
  </si>
  <si>
    <t xml:space="preserve">"cómo visibilizar en la estrategia los cambios de la agenda de incidencia??? los 10??? cuáles están y cuáles no???	el premio de la historia 6 es el mismo de la 1? o la 3 o la 4?	Necesitamos recoger mejor evidencia de los cambios de la historia 1	(revisar con quién vi) "																							</t>
  </si>
  <si>
    <t>oriri también es lo de innovación financiera!!! para conectar con pago por resultados!</t>
  </si>
  <si>
    <t>Ojo: revisar Cuándo el conocimiento generado se convierte en soluciones (herramientas útiles como rúbricas... ) de Aprender Más</t>
  </si>
  <si>
    <t>ojo: revisar que es difícile diferenciar cambios de capacidades de liderazgo, de prácticas colaborativas y de gesCO. ¿será que siempre vienen juntas? o vale la pena trazar una diferencia más clara?</t>
  </si>
  <si>
    <t>ojo: revisar analizar diferente roles de la FC con aliados en alianzas y de las alianzas más allá... (mapa de actores)</t>
  </si>
  <si>
    <t>ojo: cómo visibilizar en la estrategia los cambios de la agenda de incidencia??? los 10??? cuáles están y cuáles no???</t>
  </si>
  <si>
    <t>Ojo- idea: podría hacerse marcadores de progreso, por área para cada matriz. en esta planeación????</t>
  </si>
  <si>
    <t>OJO: innovación financiera para la democracia... también tiene su versión en: para educación y para empleo... es una estrategia</t>
  </si>
  <si>
    <t>OJO: es importante definir de qué son las agendas que sí y cuáles no! igual: qué elecciones...</t>
  </si>
  <si>
    <t>Pedir a ayuda con semáforo de hitos (porque no sé si los tengo bien o no)</t>
  </si>
  <si>
    <t xml:space="preserve">Estrategia: </t>
  </si>
  <si>
    <t xml:space="preserve">Agregar en la matriz la actividad que falta. </t>
  </si>
  <si>
    <t xml:space="preserve">Definir más claramente los cambios, con ejemplos de: conversaciones previas, hitos e instrumento. </t>
  </si>
  <si>
    <t>Reunión con Tatiana</t>
  </si>
  <si>
    <t>Pend: definición de área de Diana</t>
  </si>
  <si>
    <t xml:space="preserve">MEL: </t>
  </si>
  <si>
    <t>General</t>
  </si>
  <si>
    <t>Del instrumento</t>
  </si>
  <si>
    <t>Llenar la info de actores, presupuesto, tipo de iniciativa y evidencia</t>
  </si>
  <si>
    <t>Mejorar el instrumento: formulario y segmentado. OJO: volver el diligenciamiento un formulario que se llena en una matriz de la iniciativa y en una consolidada automáticamente. Ojo: cambiar el codigo de color a código de historia</t>
  </si>
  <si>
    <t>Ajustar definiciones de estrategia</t>
  </si>
  <si>
    <t>Alcance: que reemplace OH!!!!</t>
  </si>
  <si>
    <t>ojo: revisar a qué portafolio pertenece cada iniciativa (y quién la lidera, porque todas las de Diana está como LE y nada de INc</t>
  </si>
  <si>
    <t>Ajustar escala de evidencia/ diferenciar evidencia</t>
  </si>
  <si>
    <t>•⁠  ⁠⁠queremos poner horas de dedicación?</t>
  </si>
  <si>
    <t>Hacer mapeo de dinámicas causales</t>
  </si>
  <si>
    <t xml:space="preserve">Incluir acción 7 </t>
  </si>
  <si>
    <t>•⁠  ⁠⁠definir alcance de triangulación.</t>
  </si>
  <si>
    <t>Ojo: revisar redacción de cambio de narrativas con alcance claro. Reunión con Tatiana</t>
  </si>
  <si>
    <t>Código de historia 1</t>
  </si>
  <si>
    <t>Quién/es
Acción
Cuándo
Dónde
Efecto en quiénes/ cuándo/ dónde
Evidencia</t>
  </si>
  <si>
    <t>Código de historia 2</t>
  </si>
  <si>
    <t>Código de historia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</si>
</sst>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7">
    <font>
      <sz val="11"/>
      <color theme="1"/>
      <name val="Aptos Narrow"/>
      <scheme val="minor"/>
    </font>
    <font>
      <b/>
      <sz val="11"/>
      <color rgb="FFFFFFFF"/>
      <name val="Aptos Narrow"/>
    </font>
    <font>
      <sz val="10"/>
      <color rgb="FF000000"/>
      <name val="Aptos Narrow"/>
    </font>
    <font>
      <sz val="11"/>
      <color theme="1"/>
      <name val="Arial"/>
    </font>
    <font>
      <b/>
      <sz val="11"/>
      <color rgb="FFFFFFFF"/>
      <name val="Arial"/>
    </font>
    <font>
      <sz val="11"/>
      <name val="Aptos Narrow"/>
    </font>
    <font>
      <sz val="10"/>
      <color rgb="FF000000"/>
      <name val="Arial"/>
    </font>
    <font>
      <u/>
      <sz val="11"/>
      <color rgb="FF0000FF"/>
      <name val="Arial"/>
    </font>
    <font>
      <b/>
      <sz val="11"/>
      <color theme="1"/>
      <name val="Arial"/>
    </font>
    <font>
      <sz val="11"/>
      <color theme="1"/>
      <name val="Aptos Narrow"/>
    </font>
    <font>
      <sz val="11"/>
      <color theme="1"/>
      <name val="Aptos Narrow"/>
      <scheme val="minor"/>
    </font>
    <font>
      <b/>
      <sz val="11"/>
      <color rgb="FF000000"/>
      <name val="Arial"/>
    </font>
    <font>
      <sz val="11"/>
      <color rgb="FFC00000"/>
      <name val="Aptos Narrow"/>
    </font>
    <font>
      <b/>
      <sz val="11"/>
      <color theme="1"/>
      <name val="Aptos Narrow"/>
    </font>
    <font>
      <sz val="11"/>
      <color rgb="FFFF0000"/>
      <name val="Arial"/>
    </font>
    <font>
      <b/>
      <sz val="11"/>
      <color theme="1"/>
      <name val="Aptos Narrow"/>
      <scheme val="minor"/>
    </font>
    <font>
      <sz val="11"/>
      <color rgb="FF000000"/>
      <name val="Arial"/>
    </font>
    <font>
      <b/>
      <sz val="12"/>
      <color rgb="FF4A86E8"/>
      <name val="Arial"/>
    </font>
    <font>
      <b/>
      <sz val="12"/>
      <color rgb="FF0000FF"/>
      <name val="Arial"/>
    </font>
    <font>
      <sz val="12"/>
      <color rgb="FF000000"/>
      <name val="Arial"/>
    </font>
    <font>
      <sz val="10"/>
      <color rgb="FFF1C232"/>
      <name val="Arial"/>
    </font>
    <font>
      <sz val="10"/>
      <color rgb="FFBF2598"/>
      <name val="Arial"/>
    </font>
    <font>
      <sz val="11"/>
      <color rgb="FF00FF00"/>
      <name val="Arial"/>
    </font>
    <font>
      <sz val="10"/>
      <color rgb="FF00FF00"/>
      <name val="Arial"/>
    </font>
    <font>
      <sz val="10"/>
      <color rgb="FF6AA84F"/>
      <name val="Arial"/>
    </font>
    <font>
      <sz val="10"/>
      <color rgb="FF8E7CC3"/>
      <name val="Arial"/>
    </font>
    <font>
      <sz val="8"/>
      <color rgb="FF4A86E8"/>
      <name val="Arial"/>
    </font>
    <font>
      <sz val="11"/>
      <color rgb="FF4A86E8"/>
      <name val="Arial"/>
    </font>
    <font>
      <sz val="10"/>
      <color rgb="FF0000FF"/>
      <name val="Arial"/>
    </font>
    <font>
      <sz val="10"/>
      <color rgb="FF4A86E8"/>
      <name val="Arial"/>
    </font>
    <font>
      <b/>
      <sz val="10"/>
      <color rgb="FF0000FF"/>
      <name val="Arial"/>
    </font>
    <font>
      <sz val="10"/>
      <color rgb="FFC00000"/>
      <name val="Arial"/>
    </font>
    <font>
      <sz val="10"/>
      <color theme="5"/>
      <name val="Arial"/>
    </font>
    <font>
      <sz val="11"/>
      <color theme="5"/>
      <name val="Arial"/>
    </font>
    <font>
      <sz val="10"/>
      <color rgb="FFE97132"/>
      <name val="Arial"/>
    </font>
    <font>
      <b/>
      <sz val="11"/>
      <color theme="1"/>
      <name val="Google Sans"/>
    </font>
    <font>
      <b/>
      <sz val="11"/>
      <color rgb="FF000000"/>
      <name val="Google Sans"/>
    </font>
    <font>
      <sz val="11"/>
      <color theme="1"/>
      <name val="&quot;Google Sans Mono&quot;"/>
    </font>
    <font>
      <sz val="11"/>
      <color theme="1"/>
      <name val="Google Sans"/>
    </font>
    <font>
      <i/>
      <sz val="11"/>
      <color theme="1"/>
      <name val="Google Sans"/>
    </font>
    <font>
      <b/>
      <sz val="10"/>
      <color rgb="FF000000"/>
      <name val="Arial"/>
    </font>
    <font>
      <sz val="11"/>
      <color rgb="FF980000"/>
      <name val="Arial"/>
    </font>
    <font>
      <b/>
      <sz val="11"/>
      <color rgb="FF6AA84F"/>
      <name val="Arial"/>
    </font>
    <font>
      <sz val="11"/>
      <color rgb="FF6AA84F"/>
      <name val="Arial"/>
    </font>
    <font>
      <sz val="11"/>
      <color rgb="FFBF9000"/>
      <name val="Arial"/>
    </font>
    <font>
      <sz val="11"/>
      <color rgb="FFC00000"/>
      <name val="Arial"/>
    </font>
    <font>
      <sz val="11"/>
      <color rgb="FF3C78D8"/>
      <name val="Arial"/>
    </font>
    <font>
      <sz val="8"/>
      <color rgb="FF8E7CC3"/>
      <name val="Arial"/>
    </font>
    <font>
      <sz val="8"/>
      <color rgb="FFF1C232"/>
      <name val="Arial"/>
    </font>
    <font>
      <sz val="8"/>
      <color rgb="FFBF2598"/>
      <name val="Arial"/>
    </font>
    <font>
      <sz val="8"/>
      <color rgb="FF00FF00"/>
      <name val="Arial"/>
    </font>
    <font>
      <sz val="8"/>
      <color rgb="FF6AA84F"/>
      <name val="Arial"/>
    </font>
    <font>
      <sz val="11"/>
      <color theme="1"/>
      <name val="Google Sans Text"/>
    </font>
    <font>
      <b/>
      <sz val="11"/>
      <color rgb="FF000000"/>
      <name val="Google Sans Text"/>
    </font>
    <font>
      <sz val="11"/>
      <color rgb="FF000000"/>
      <name val="Google Sans Text"/>
    </font>
    <font>
      <sz val="11"/>
      <color rgb="FF000000"/>
      <name val="Aptos Narrow"/>
    </font>
    <font>
      <sz val="11"/>
      <color rgb="FF4EA72E"/>
      <name val="Aptos Narrow"/>
    </font>
  </fonts>
  <fills count="11">
    <fill>
      <patternFill patternType="none"/>
    </fill>
    <fill>
      <patternFill patternType="gray125"/>
    </fill>
    <fill>
      <patternFill patternType="solid">
        <fgColor rgb="FFD593D1"/>
        <bgColor rgb="FFD593D1"/>
      </patternFill>
    </fill>
    <fill>
      <patternFill patternType="solid">
        <fgColor rgb="FF666666"/>
        <bgColor rgb="FF666666"/>
      </patternFill>
    </fill>
    <fill>
      <patternFill patternType="solid">
        <fgColor rgb="FFD9D2E9"/>
        <bgColor rgb="FFD9D2E9"/>
      </patternFill>
    </fill>
    <fill>
      <patternFill patternType="solid">
        <fgColor rgb="FFD9D9D9"/>
        <bgColor rgb="FFD9D9D9"/>
      </patternFill>
    </fill>
    <fill>
      <patternFill patternType="solid">
        <fgColor rgb="FFD9EAD3"/>
        <bgColor rgb="FFD9EAD3"/>
      </patternFill>
    </fill>
    <fill>
      <patternFill patternType="solid">
        <fgColor rgb="FFFF0000"/>
        <bgColor rgb="FFFF0000"/>
      </patternFill>
    </fill>
    <fill>
      <patternFill patternType="solid">
        <fgColor rgb="FFCCCCCC"/>
        <bgColor rgb="FFCCCCCC"/>
      </patternFill>
    </fill>
    <fill>
      <patternFill patternType="solid">
        <fgColor rgb="FFB6D7A8"/>
        <bgColor rgb="FFB6D7A8"/>
      </patternFill>
    </fill>
    <fill>
      <patternFill patternType="solid">
        <fgColor rgb="FFF0F4F9"/>
        <bgColor rgb="FFF0F4F9"/>
      </patternFill>
    </fill>
  </fills>
  <borders count="3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style="thin">
        <color rgb="FFC4C7C5"/>
      </left>
      <right style="thin">
        <color rgb="FFC4C7C5"/>
      </right>
      <top style="thin">
        <color rgb="FFC4C7C5"/>
      </top>
      <bottom style="thin">
        <color rgb="FFC4C7C5"/>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000000"/>
      </right>
      <top style="thin">
        <color rgb="FF000000"/>
      </top>
      <bottom style="thin">
        <color rgb="FF000000"/>
      </bottom>
      <diagonal/>
    </border>
    <border>
      <left style="thin">
        <color rgb="FFCCCCCC"/>
      </left>
      <right style="thick">
        <color rgb="FF000000"/>
      </right>
      <top style="thin">
        <color rgb="FF000000"/>
      </top>
      <bottom style="thin">
        <color rgb="FF000000"/>
      </bottom>
      <diagonal/>
    </border>
    <border>
      <left style="thin">
        <color rgb="FF000000"/>
      </left>
      <right style="thin">
        <color rgb="FF000000"/>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CCCCCC"/>
      </left>
      <right style="thin">
        <color rgb="FF000000"/>
      </right>
      <top/>
      <bottom/>
      <diagonal/>
    </border>
    <border>
      <left style="thin">
        <color rgb="FFCCCCCC"/>
      </left>
      <right style="thin">
        <color rgb="FF000000"/>
      </right>
      <top style="thin">
        <color rgb="FFCCCCCC"/>
      </top>
      <bottom/>
      <diagonal/>
    </border>
    <border>
      <left style="thin">
        <color rgb="FFCCCCCC"/>
      </left>
      <right style="thick">
        <color rgb="FF000000"/>
      </right>
      <top style="thin">
        <color rgb="FFCCCCCC"/>
      </top>
      <bottom style="thin">
        <color rgb="FF000000"/>
      </bottom>
      <diagonal/>
    </border>
    <border>
      <left style="thin">
        <color rgb="FFCCCCCC"/>
      </left>
      <right/>
      <top style="thin">
        <color rgb="FFCCCCCC"/>
      </top>
      <bottom style="thin">
        <color rgb="FF000000"/>
      </bottom>
      <diagonal/>
    </border>
    <border>
      <left/>
      <right style="thin">
        <color rgb="FF000000"/>
      </right>
      <top style="thin">
        <color rgb="FFCCCCCC"/>
      </top>
      <bottom style="thin">
        <color rgb="FF000000"/>
      </bottom>
      <diagonal/>
    </border>
    <border>
      <left/>
      <right style="thin">
        <color rgb="FF000000"/>
      </right>
      <top style="thin">
        <color rgb="FFCCCCCC"/>
      </top>
      <bottom/>
      <diagonal/>
    </border>
    <border>
      <left style="thin">
        <color rgb="FF000000"/>
      </left>
      <right style="thin">
        <color rgb="FF000000"/>
      </right>
      <top style="thin">
        <color rgb="FFCCCCCC"/>
      </top>
      <bottom/>
      <diagonal/>
    </border>
    <border>
      <left style="thin">
        <color rgb="FFCCCCCC"/>
      </left>
      <right style="thin">
        <color rgb="FF000000"/>
      </right>
      <top/>
      <bottom style="thin">
        <color rgb="FF000000"/>
      </bottom>
      <diagonal/>
    </border>
    <border>
      <left style="thin">
        <color rgb="FF000000"/>
      </left>
      <right/>
      <top style="thin">
        <color rgb="FFCCCCCC"/>
      </top>
      <bottom style="thin">
        <color rgb="FF000000"/>
      </bottom>
      <diagonal/>
    </border>
    <border>
      <left style="thin">
        <color rgb="FFCCCCCC"/>
      </left>
      <right style="thin">
        <color rgb="FF000000"/>
      </right>
      <top style="thin">
        <color rgb="FF000000"/>
      </top>
      <bottom/>
      <diagonal/>
    </border>
    <border>
      <left style="thin">
        <color rgb="FFCCCCCC"/>
      </left>
      <right/>
      <top/>
      <bottom style="thin">
        <color rgb="FF000000"/>
      </bottom>
      <diagonal/>
    </border>
    <border>
      <left/>
      <right/>
      <top/>
      <bottom/>
      <diagonal/>
    </border>
    <border>
      <left style="thin">
        <color rgb="FFCCCCCC"/>
      </left>
      <right/>
      <top style="thin">
        <color rgb="FFCCCCCC"/>
      </top>
      <bottom/>
      <diagonal/>
    </border>
    <border>
      <left/>
      <right/>
      <top style="thin">
        <color rgb="FFCCCCCC"/>
      </top>
      <bottom style="thin">
        <color rgb="FF000000"/>
      </bottom>
      <diagonal/>
    </border>
    <border>
      <left style="thin">
        <color rgb="FF000000"/>
      </left>
      <right/>
      <top style="thin">
        <color rgb="FFCCCCCC"/>
      </top>
      <bottom/>
      <diagonal/>
    </border>
  </borders>
  <cellStyleXfs count="1">
    <xf numFmtId="0" fontId="0" fillId="0" borderId="0"/>
  </cellStyleXfs>
  <cellXfs count="215">
    <xf numFmtId="0" fontId="0" fillId="0" borderId="0" xfId="0"/>
    <xf numFmtId="0" fontId="1" fillId="2" borderId="1" xfId="0" applyFont="1" applyFill="1" applyBorder="1" applyAlignment="1">
      <alignment horizontal="center" vertical="center" wrapText="1"/>
    </xf>
    <xf numFmtId="0" fontId="3" fillId="0" borderId="3" xfId="0" applyFont="1" applyBorder="1" applyAlignment="1">
      <alignment horizontal="left" vertical="center" wrapText="1" readingOrder="1"/>
    </xf>
    <xf numFmtId="0" fontId="4" fillId="2" borderId="1" xfId="0" applyFont="1" applyFill="1" applyBorder="1" applyAlignment="1">
      <alignment horizontal="center" vertical="center" wrapText="1"/>
    </xf>
    <xf numFmtId="0" fontId="6" fillId="0" borderId="3" xfId="0" applyFont="1" applyBorder="1" applyAlignment="1">
      <alignment horizontal="left" vertical="center" wrapText="1" readingOrder="1"/>
    </xf>
    <xf numFmtId="0" fontId="7" fillId="0" borderId="0" xfId="0" applyFont="1"/>
    <xf numFmtId="0" fontId="4" fillId="2" borderId="1" xfId="0" applyFont="1" applyFill="1" applyBorder="1" applyAlignment="1">
      <alignment horizontal="center" wrapText="1"/>
    </xf>
    <xf numFmtId="0" fontId="8" fillId="0" borderId="0" xfId="0" applyFont="1"/>
    <xf numFmtId="0" fontId="4" fillId="3" borderId="1" xfId="0" applyFont="1" applyFill="1" applyBorder="1" applyAlignment="1">
      <alignment horizontal="center" vertical="center" wrapText="1"/>
    </xf>
    <xf numFmtId="0" fontId="9" fillId="0" borderId="0" xfId="0" applyFont="1" applyAlignment="1">
      <alignment horizontal="center"/>
    </xf>
    <xf numFmtId="0" fontId="9" fillId="0" borderId="0" xfId="0" applyFont="1" applyAlignment="1">
      <alignment vertical="center" wrapText="1"/>
    </xf>
    <xf numFmtId="0" fontId="9" fillId="0" borderId="1" xfId="0" applyFont="1" applyBorder="1" applyAlignment="1">
      <alignment horizontal="right"/>
    </xf>
    <xf numFmtId="0" fontId="9" fillId="0" borderId="1" xfId="0" applyFont="1" applyBorder="1"/>
    <xf numFmtId="0" fontId="3" fillId="0" borderId="1" xfId="0" applyFont="1" applyBorder="1"/>
    <xf numFmtId="0" fontId="6" fillId="0" borderId="13" xfId="0" applyFont="1" applyBorder="1" applyAlignment="1">
      <alignment horizontal="left" vertical="center" wrapText="1" readingOrder="1"/>
    </xf>
    <xf numFmtId="9" fontId="10" fillId="0" borderId="0" xfId="0" applyNumberFormat="1" applyFont="1"/>
    <xf numFmtId="0" fontId="11" fillId="0" borderId="0" xfId="0" applyFont="1"/>
    <xf numFmtId="0" fontId="3" fillId="0" borderId="1" xfId="0" applyFont="1" applyBorder="1" applyAlignment="1">
      <alignment horizontal="right"/>
    </xf>
    <xf numFmtId="9" fontId="10" fillId="0" borderId="1" xfId="0" applyNumberFormat="1" applyFont="1" applyBorder="1"/>
    <xf numFmtId="0" fontId="9" fillId="4" borderId="1" xfId="0" applyFont="1" applyFill="1" applyBorder="1"/>
    <xf numFmtId="0" fontId="3" fillId="0" borderId="1" xfId="0" applyFont="1" applyBorder="1" applyAlignment="1">
      <alignment horizontal="right" vertical="top"/>
    </xf>
    <xf numFmtId="0" fontId="9" fillId="0" borderId="0" xfId="0" applyFont="1"/>
    <xf numFmtId="0" fontId="3" fillId="0" borderId="0" xfId="0" applyFont="1"/>
    <xf numFmtId="0" fontId="3" fillId="5" borderId="1" xfId="0" applyFont="1" applyFill="1" applyBorder="1"/>
    <xf numFmtId="0" fontId="8" fillId="6" borderId="0" xfId="0" applyFont="1" applyFill="1"/>
    <xf numFmtId="0" fontId="9" fillId="5" borderId="1" xfId="0" applyFont="1" applyFill="1" applyBorder="1"/>
    <xf numFmtId="0" fontId="13" fillId="0" borderId="2" xfId="0" applyFont="1" applyBorder="1"/>
    <xf numFmtId="0" fontId="9" fillId="0" borderId="4" xfId="0" applyFont="1" applyBorder="1"/>
    <xf numFmtId="0" fontId="9" fillId="0" borderId="5" xfId="0" applyFont="1" applyBorder="1"/>
    <xf numFmtId="0" fontId="10" fillId="0" borderId="10" xfId="0" applyFont="1" applyBorder="1"/>
    <xf numFmtId="0" fontId="10" fillId="0" borderId="9" xfId="0" applyFont="1" applyBorder="1"/>
    <xf numFmtId="0" fontId="3" fillId="0" borderId="0" xfId="0" applyFont="1" applyAlignment="1">
      <alignment horizontal="left" vertical="center" wrapText="1" readingOrder="1"/>
    </xf>
    <xf numFmtId="0" fontId="14" fillId="0" borderId="0" xfId="0" applyFont="1"/>
    <xf numFmtId="0" fontId="10" fillId="7" borderId="0" xfId="0" applyFont="1" applyFill="1"/>
    <xf numFmtId="0" fontId="8" fillId="0" borderId="1" xfId="0" applyFont="1" applyBorder="1" applyAlignment="1">
      <alignment horizontal="center"/>
    </xf>
    <xf numFmtId="0" fontId="10" fillId="0" borderId="0" xfId="0" applyFont="1"/>
    <xf numFmtId="0" fontId="10" fillId="0" borderId="1" xfId="0" applyFont="1" applyBorder="1" applyAlignment="1">
      <alignment vertical="center"/>
    </xf>
    <xf numFmtId="0" fontId="10" fillId="0" borderId="1" xfId="0" applyFont="1" applyBorder="1"/>
    <xf numFmtId="0" fontId="3" fillId="8" borderId="1" xfId="0" applyFont="1" applyFill="1" applyBorder="1"/>
    <xf numFmtId="0" fontId="9" fillId="8" borderId="1" xfId="0" applyFont="1" applyFill="1" applyBorder="1"/>
    <xf numFmtId="0" fontId="15" fillId="0" borderId="9" xfId="0" applyFont="1" applyBorder="1"/>
    <xf numFmtId="0" fontId="10" fillId="0" borderId="13" xfId="0" applyFont="1" applyBorder="1"/>
    <xf numFmtId="0" fontId="10" fillId="0" borderId="14" xfId="0" applyFont="1" applyBorder="1"/>
    <xf numFmtId="0" fontId="16" fillId="0" borderId="3" xfId="0" applyFont="1" applyBorder="1" applyAlignment="1">
      <alignment horizontal="left" vertical="center" wrapText="1" readingOrder="1"/>
    </xf>
    <xf numFmtId="0" fontId="3" fillId="0" borderId="1" xfId="0" applyFont="1" applyBorder="1" applyAlignment="1">
      <alignment horizontal="left" vertical="center" wrapText="1" readingOrder="1"/>
    </xf>
    <xf numFmtId="0" fontId="3" fillId="0" borderId="2" xfId="0" applyFont="1" applyBorder="1" applyAlignment="1">
      <alignment horizontal="left" vertical="center" wrapText="1" readingOrder="1"/>
    </xf>
    <xf numFmtId="0" fontId="9" fillId="0" borderId="0" xfId="0" applyFont="1" applyAlignment="1">
      <alignment horizontal="left" vertical="center" wrapText="1"/>
    </xf>
    <xf numFmtId="0" fontId="9" fillId="9" borderId="1" xfId="0" applyFont="1" applyFill="1" applyBorder="1"/>
    <xf numFmtId="0" fontId="3" fillId="9" borderId="1" xfId="0" applyFont="1" applyFill="1" applyBorder="1"/>
    <xf numFmtId="0" fontId="9" fillId="0" borderId="7" xfId="0" applyFont="1" applyBorder="1"/>
    <xf numFmtId="0" fontId="3" fillId="0" borderId="7" xfId="0" applyFont="1" applyBorder="1"/>
    <xf numFmtId="0" fontId="17" fillId="0" borderId="3" xfId="0" applyFont="1" applyBorder="1" applyAlignment="1">
      <alignment horizontal="left" vertical="center" wrapText="1" readingOrder="1"/>
    </xf>
    <xf numFmtId="0" fontId="18" fillId="0" borderId="3" xfId="0" applyFont="1" applyBorder="1" applyAlignment="1">
      <alignment horizontal="center" vertical="center" wrapText="1" readingOrder="1"/>
    </xf>
    <xf numFmtId="0" fontId="19" fillId="0" borderId="1" xfId="0" applyFont="1" applyBorder="1" applyAlignment="1">
      <alignment horizontal="center" vertical="center" wrapText="1" readingOrder="1"/>
    </xf>
    <xf numFmtId="0" fontId="20" fillId="0" borderId="8" xfId="0" applyFont="1" applyBorder="1" applyAlignment="1">
      <alignment horizontal="left" vertical="center" wrapText="1" readingOrder="1"/>
    </xf>
    <xf numFmtId="0" fontId="20" fillId="0" borderId="17" xfId="0" applyFont="1" applyBorder="1" applyAlignment="1">
      <alignment horizontal="left" vertical="center" wrapText="1" readingOrder="1"/>
    </xf>
    <xf numFmtId="0" fontId="21" fillId="0" borderId="17" xfId="0" applyFont="1" applyBorder="1" applyAlignment="1">
      <alignment horizontal="left" vertical="center" wrapText="1" readingOrder="1"/>
    </xf>
    <xf numFmtId="0" fontId="22" fillId="0" borderId="17" xfId="0" applyFont="1" applyBorder="1" applyAlignment="1">
      <alignment horizontal="left" vertical="center" wrapText="1" readingOrder="1"/>
    </xf>
    <xf numFmtId="0" fontId="23" fillId="0" borderId="17" xfId="0" applyFont="1" applyBorder="1" applyAlignment="1">
      <alignment horizontal="left" vertical="center" wrapText="1" readingOrder="1"/>
    </xf>
    <xf numFmtId="0" fontId="24" fillId="0" borderId="17" xfId="0" applyFont="1" applyBorder="1" applyAlignment="1">
      <alignment horizontal="left" vertical="center" wrapText="1" readingOrder="1"/>
    </xf>
    <xf numFmtId="0" fontId="24" fillId="0" borderId="18" xfId="0" applyFont="1" applyBorder="1" applyAlignment="1">
      <alignment horizontal="left" vertical="center" wrapText="1" readingOrder="1"/>
    </xf>
    <xf numFmtId="0" fontId="25" fillId="0" borderId="17" xfId="0" applyFont="1" applyBorder="1" applyAlignment="1">
      <alignment horizontal="left" vertical="center" wrapText="1" readingOrder="1"/>
    </xf>
    <xf numFmtId="0" fontId="27" fillId="0" borderId="19" xfId="0" applyFont="1" applyBorder="1" applyAlignment="1">
      <alignment horizontal="left" vertical="center" wrapText="1" readingOrder="1"/>
    </xf>
    <xf numFmtId="0" fontId="28" fillId="0" borderId="20" xfId="0" applyFont="1" applyBorder="1" applyAlignment="1">
      <alignment horizontal="left" vertical="center" wrapText="1" readingOrder="1"/>
    </xf>
    <xf numFmtId="0" fontId="6" fillId="0" borderId="21" xfId="0" applyFont="1" applyBorder="1" applyAlignment="1">
      <alignment horizontal="center" vertical="center" wrapText="1" readingOrder="1"/>
    </xf>
    <xf numFmtId="0" fontId="6" fillId="0" borderId="20" xfId="0" applyFont="1" applyBorder="1" applyAlignment="1">
      <alignment horizontal="center" vertical="center" wrapText="1" readingOrder="1"/>
    </xf>
    <xf numFmtId="0" fontId="6" fillId="0" borderId="22" xfId="0" applyFont="1" applyBorder="1" applyAlignment="1">
      <alignment horizontal="center" vertical="center" wrapText="1" readingOrder="1"/>
    </xf>
    <xf numFmtId="0" fontId="6" fillId="0" borderId="23" xfId="0" applyFont="1" applyBorder="1" applyAlignment="1">
      <alignment horizontal="center" vertical="center" wrapText="1" readingOrder="1"/>
    </xf>
    <xf numFmtId="0" fontId="29" fillId="0" borderId="19" xfId="0" applyFont="1" applyBorder="1" applyAlignment="1">
      <alignment horizontal="left" vertical="center" wrapText="1" readingOrder="1"/>
    </xf>
    <xf numFmtId="0" fontId="28" fillId="0" borderId="24" xfId="0" applyFont="1" applyBorder="1" applyAlignment="1">
      <alignment horizontal="left" vertical="center" wrapText="1" readingOrder="1"/>
    </xf>
    <xf numFmtId="0" fontId="16" fillId="0" borderId="1" xfId="0" applyFont="1" applyBorder="1" applyAlignment="1">
      <alignment horizontal="center" vertical="center" wrapText="1" readingOrder="1"/>
    </xf>
    <xf numFmtId="0" fontId="6" fillId="0" borderId="25" xfId="0" applyFont="1" applyBorder="1" applyAlignment="1">
      <alignment horizontal="center" vertical="center" wrapText="1" readingOrder="1"/>
    </xf>
    <xf numFmtId="0" fontId="16" fillId="0" borderId="1" xfId="0" applyFont="1" applyBorder="1" applyAlignment="1">
      <alignment horizontal="left" vertical="center" wrapText="1" readingOrder="1"/>
    </xf>
    <xf numFmtId="0" fontId="6" fillId="0" borderId="24" xfId="0" applyFont="1" applyBorder="1" applyAlignment="1">
      <alignment horizontal="center" vertical="center" wrapText="1" readingOrder="1"/>
    </xf>
    <xf numFmtId="0" fontId="6" fillId="0" borderId="26" xfId="0" applyFont="1" applyBorder="1" applyAlignment="1">
      <alignment horizontal="center" vertical="center" wrapText="1" readingOrder="1"/>
    </xf>
    <xf numFmtId="0" fontId="6" fillId="0" borderId="1" xfId="0" applyFont="1" applyBorder="1" applyAlignment="1">
      <alignment horizontal="center" vertical="center" wrapText="1" readingOrder="1"/>
    </xf>
    <xf numFmtId="0" fontId="17" fillId="0" borderId="3" xfId="0" applyFont="1" applyBorder="1" applyAlignment="1">
      <alignment horizontal="center" vertical="center" wrapText="1" readingOrder="1"/>
    </xf>
    <xf numFmtId="0" fontId="30" fillId="0" borderId="1" xfId="0" applyFont="1" applyBorder="1" applyAlignment="1">
      <alignment horizontal="center" vertical="center" wrapText="1" readingOrder="1"/>
    </xf>
    <xf numFmtId="0" fontId="6" fillId="0" borderId="15" xfId="0" applyFont="1" applyBorder="1" applyAlignment="1">
      <alignment horizontal="center" vertical="center" wrapText="1" readingOrder="1"/>
    </xf>
    <xf numFmtId="0" fontId="16" fillId="0" borderId="1" xfId="0" applyFont="1" applyBorder="1" applyAlignment="1">
      <alignment horizontal="center" vertical="center"/>
    </xf>
    <xf numFmtId="0" fontId="19" fillId="0" borderId="8" xfId="0" applyFont="1" applyBorder="1" applyAlignment="1">
      <alignment horizontal="center" vertical="center" wrapText="1" readingOrder="1"/>
    </xf>
    <xf numFmtId="0" fontId="29" fillId="0" borderId="27" xfId="0" applyFont="1" applyBorder="1" applyAlignment="1">
      <alignment horizontal="left" vertical="center" wrapText="1" readingOrder="1"/>
    </xf>
    <xf numFmtId="0" fontId="16" fillId="0" borderId="3" xfId="0" applyFont="1" applyBorder="1" applyAlignment="1">
      <alignment horizontal="center" vertical="center" wrapText="1" readingOrder="1"/>
    </xf>
    <xf numFmtId="0" fontId="16" fillId="0" borderId="25" xfId="0" applyFont="1" applyBorder="1" applyAlignment="1">
      <alignment horizontal="center" vertical="center" wrapText="1" readingOrder="1"/>
    </xf>
    <xf numFmtId="0" fontId="16" fillId="0" borderId="14" xfId="0" applyFont="1" applyBorder="1" applyAlignment="1">
      <alignment horizontal="center" vertical="center" wrapText="1" readingOrder="1"/>
    </xf>
    <xf numFmtId="0" fontId="16" fillId="0" borderId="14" xfId="0" applyFont="1" applyBorder="1" applyAlignment="1">
      <alignment horizontal="left" vertical="center" wrapText="1" readingOrder="1"/>
    </xf>
    <xf numFmtId="0" fontId="29" fillId="0" borderId="16" xfId="0" applyFont="1" applyBorder="1" applyAlignment="1">
      <alignment horizontal="left" vertical="center" wrapText="1" readingOrder="1"/>
    </xf>
    <xf numFmtId="0" fontId="6" fillId="0" borderId="28" xfId="0" applyFont="1" applyBorder="1" applyAlignment="1">
      <alignment horizontal="center" vertical="center" wrapText="1" readingOrder="1"/>
    </xf>
    <xf numFmtId="0" fontId="29" fillId="0" borderId="29" xfId="0" applyFont="1" applyBorder="1" applyAlignment="1">
      <alignment horizontal="left" vertical="center" wrapText="1" readingOrder="1"/>
    </xf>
    <xf numFmtId="0" fontId="28" fillId="0" borderId="1" xfId="0" applyFont="1" applyBorder="1" applyAlignment="1">
      <alignment horizontal="left" vertical="center" wrapText="1" readingOrder="1"/>
    </xf>
    <xf numFmtId="0" fontId="28" fillId="0" borderId="28" xfId="0" applyFont="1" applyBorder="1" applyAlignment="1">
      <alignment horizontal="left" vertical="center" wrapText="1" readingOrder="1"/>
    </xf>
    <xf numFmtId="0" fontId="17" fillId="0" borderId="8" xfId="0" applyFont="1" applyBorder="1" applyAlignment="1">
      <alignment horizontal="left" vertical="center" wrapText="1" readingOrder="1"/>
    </xf>
    <xf numFmtId="0" fontId="20" fillId="0" borderId="30" xfId="0" applyFont="1" applyBorder="1" applyAlignment="1">
      <alignment horizontal="left" vertical="center" wrapText="1" readingOrder="1"/>
    </xf>
    <xf numFmtId="0" fontId="28" fillId="0" borderId="22" xfId="0" applyFont="1" applyBorder="1" applyAlignment="1">
      <alignment horizontal="left" vertical="center" wrapText="1" readingOrder="1"/>
    </xf>
    <xf numFmtId="0" fontId="16" fillId="0" borderId="3" xfId="0" applyFont="1" applyBorder="1" applyAlignment="1">
      <alignment horizontal="center" vertical="center"/>
    </xf>
    <xf numFmtId="0" fontId="29" fillId="0" borderId="1" xfId="0" applyFont="1" applyBorder="1" applyAlignment="1">
      <alignment horizontal="left" vertical="center" wrapText="1" readingOrder="1"/>
    </xf>
    <xf numFmtId="0" fontId="28" fillId="0" borderId="25" xfId="0" applyFont="1" applyBorder="1" applyAlignment="1">
      <alignment horizontal="left" vertical="center" wrapText="1" readingOrder="1"/>
    </xf>
    <xf numFmtId="0" fontId="6" fillId="0" borderId="31" xfId="0" applyFont="1" applyBorder="1" applyAlignment="1">
      <alignment horizontal="center" vertical="center" wrapText="1" readingOrder="1"/>
    </xf>
    <xf numFmtId="0" fontId="28" fillId="0" borderId="1" xfId="0" applyFont="1" applyBorder="1" applyAlignment="1">
      <alignment horizontal="center" vertical="center" wrapText="1" readingOrder="1"/>
    </xf>
    <xf numFmtId="0" fontId="21" fillId="0" borderId="30" xfId="0" applyFont="1" applyBorder="1" applyAlignment="1">
      <alignment horizontal="left" vertical="center" wrapText="1" readingOrder="1"/>
    </xf>
    <xf numFmtId="0" fontId="6" fillId="0" borderId="33" xfId="0" applyFont="1" applyBorder="1" applyAlignment="1">
      <alignment horizontal="center" vertical="center" wrapText="1" readingOrder="1"/>
    </xf>
    <xf numFmtId="0" fontId="16" fillId="0" borderId="8" xfId="0" applyFont="1" applyBorder="1" applyAlignment="1">
      <alignment horizontal="center" vertical="center"/>
    </xf>
    <xf numFmtId="0" fontId="16" fillId="0" borderId="7" xfId="0" applyFont="1" applyBorder="1" applyAlignment="1">
      <alignment horizontal="left" vertical="center" wrapText="1" readingOrder="1"/>
    </xf>
    <xf numFmtId="0" fontId="16" fillId="0" borderId="7" xfId="0" applyFont="1" applyBorder="1" applyAlignment="1">
      <alignment horizontal="center" vertical="center"/>
    </xf>
    <xf numFmtId="0" fontId="6" fillId="0" borderId="34" xfId="0" applyFont="1" applyBorder="1" applyAlignment="1">
      <alignment horizontal="center" vertical="center" wrapText="1" readingOrder="1"/>
    </xf>
    <xf numFmtId="0" fontId="6" fillId="0" borderId="16" xfId="0" applyFont="1" applyBorder="1" applyAlignment="1">
      <alignment horizontal="center" vertical="center" wrapText="1" readingOrder="1"/>
    </xf>
    <xf numFmtId="0" fontId="16" fillId="0" borderId="15" xfId="0" applyFont="1" applyBorder="1" applyAlignment="1">
      <alignment horizontal="center" vertical="center" wrapText="1" readingOrder="1"/>
    </xf>
    <xf numFmtId="0" fontId="16" fillId="0" borderId="15" xfId="0" applyFont="1" applyBorder="1" applyAlignment="1">
      <alignment horizontal="center" vertical="center"/>
    </xf>
    <xf numFmtId="0" fontId="6" fillId="0" borderId="14" xfId="0" applyFont="1" applyBorder="1" applyAlignment="1">
      <alignment horizontal="left" vertical="center" wrapText="1" readingOrder="1"/>
    </xf>
    <xf numFmtId="0" fontId="6" fillId="0" borderId="15" xfId="0" applyFont="1" applyBorder="1" applyAlignment="1">
      <alignment horizontal="left" vertical="center" wrapText="1" readingOrder="1"/>
    </xf>
    <xf numFmtId="0" fontId="16" fillId="0" borderId="16" xfId="0" applyFont="1" applyBorder="1" applyAlignment="1">
      <alignment horizontal="center" vertical="center"/>
    </xf>
    <xf numFmtId="0" fontId="16" fillId="0" borderId="20" xfId="0" applyFont="1" applyBorder="1" applyAlignment="1">
      <alignment horizontal="center" vertical="center" wrapText="1" readingOrder="1"/>
    </xf>
    <xf numFmtId="0" fontId="16" fillId="0" borderId="15" xfId="0" applyFont="1" applyBorder="1" applyAlignment="1">
      <alignment horizontal="left" vertical="center" wrapText="1" readingOrder="1"/>
    </xf>
    <xf numFmtId="0" fontId="6" fillId="0" borderId="14" xfId="0" applyFont="1" applyBorder="1" applyAlignment="1">
      <alignment horizontal="center" vertical="center" wrapText="1" readingOrder="1"/>
    </xf>
    <xf numFmtId="0" fontId="6" fillId="0" borderId="3" xfId="0" applyFont="1" applyBorder="1" applyAlignment="1">
      <alignment horizontal="center" vertical="center" wrapText="1" readingOrder="1"/>
    </xf>
    <xf numFmtId="0" fontId="31" fillId="0" borderId="20" xfId="0" applyFont="1" applyBorder="1" applyAlignment="1">
      <alignment horizontal="center" vertical="center" wrapText="1" readingOrder="1"/>
    </xf>
    <xf numFmtId="0" fontId="32" fillId="0" borderId="20" xfId="0" applyFont="1" applyBorder="1" applyAlignment="1">
      <alignment horizontal="center" vertical="center" wrapText="1" readingOrder="1"/>
    </xf>
    <xf numFmtId="0" fontId="9" fillId="0" borderId="1" xfId="0" applyFont="1" applyBorder="1" applyAlignment="1">
      <alignment horizontal="left" vertical="center" wrapText="1"/>
    </xf>
    <xf numFmtId="0" fontId="26" fillId="0" borderId="0" xfId="0" applyFont="1" applyAlignment="1">
      <alignment horizontal="center" vertical="center" wrapText="1" readingOrder="1"/>
    </xf>
    <xf numFmtId="0" fontId="6" fillId="0" borderId="6" xfId="0" applyFont="1" applyBorder="1" applyAlignment="1">
      <alignment horizontal="left" vertical="center" wrapText="1" readingOrder="1"/>
    </xf>
    <xf numFmtId="0" fontId="6" fillId="0" borderId="8" xfId="0" applyFont="1" applyBorder="1" applyAlignment="1">
      <alignment horizontal="left" vertical="center" wrapText="1" readingOrder="1"/>
    </xf>
    <xf numFmtId="0" fontId="16" fillId="0" borderId="14" xfId="0" applyFont="1" applyBorder="1" applyAlignment="1">
      <alignment horizontal="center" vertical="center"/>
    </xf>
    <xf numFmtId="0" fontId="6" fillId="0" borderId="1" xfId="0" applyFont="1" applyBorder="1" applyAlignment="1">
      <alignment horizontal="left" vertical="center" wrapText="1" readingOrder="1"/>
    </xf>
    <xf numFmtId="0" fontId="22" fillId="0" borderId="30" xfId="0" applyFont="1" applyBorder="1" applyAlignment="1">
      <alignment horizontal="left" vertical="center" wrapText="1" readingOrder="1"/>
    </xf>
    <xf numFmtId="0" fontId="16" fillId="0" borderId="1" xfId="0" applyFont="1" applyBorder="1" applyAlignment="1">
      <alignment vertical="center"/>
    </xf>
    <xf numFmtId="0" fontId="6" fillId="0" borderId="7" xfId="0" applyFont="1" applyBorder="1" applyAlignment="1">
      <alignment horizontal="left" vertical="center" wrapText="1" readingOrder="1"/>
    </xf>
    <xf numFmtId="0" fontId="6" fillId="0" borderId="10" xfId="0" applyFont="1" applyBorder="1" applyAlignment="1">
      <alignment horizontal="center" vertical="center" wrapText="1" readingOrder="1"/>
    </xf>
    <xf numFmtId="0" fontId="33" fillId="0" borderId="1" xfId="0" applyFont="1" applyBorder="1" applyAlignment="1">
      <alignment horizontal="left" vertical="center" wrapText="1" readingOrder="1"/>
    </xf>
    <xf numFmtId="0" fontId="3" fillId="0" borderId="1" xfId="0" applyFont="1" applyBorder="1" applyAlignment="1">
      <alignment wrapText="1"/>
    </xf>
    <xf numFmtId="0" fontId="16" fillId="0" borderId="8" xfId="0" applyFont="1" applyBorder="1" applyAlignment="1">
      <alignment horizontal="left" vertical="center" wrapText="1" readingOrder="1"/>
    </xf>
    <xf numFmtId="0" fontId="33" fillId="0" borderId="10" xfId="0" applyFont="1" applyBorder="1" applyAlignment="1">
      <alignment horizontal="left" vertical="center" wrapText="1" readingOrder="1"/>
    </xf>
    <xf numFmtId="0" fontId="6" fillId="0" borderId="8" xfId="0" applyFont="1" applyBorder="1" applyAlignment="1">
      <alignment horizontal="center" vertical="center" wrapText="1" readingOrder="1"/>
    </xf>
    <xf numFmtId="0" fontId="32" fillId="0" borderId="28" xfId="0" applyFont="1" applyBorder="1" applyAlignment="1">
      <alignment horizontal="center" vertical="center" wrapText="1" readingOrder="1"/>
    </xf>
    <xf numFmtId="0" fontId="34" fillId="0" borderId="20" xfId="0" applyFont="1" applyBorder="1" applyAlignment="1">
      <alignment horizontal="center" vertical="center" wrapText="1" readingOrder="1"/>
    </xf>
    <xf numFmtId="0" fontId="33" fillId="0" borderId="1" xfId="0" applyFont="1" applyBorder="1" applyAlignment="1">
      <alignment horizontal="center" vertical="center"/>
    </xf>
    <xf numFmtId="0" fontId="32" fillId="0" borderId="25" xfId="0" applyFont="1" applyBorder="1" applyAlignment="1">
      <alignment horizontal="center" vertical="center" wrapText="1" readingOrder="1"/>
    </xf>
    <xf numFmtId="0" fontId="35" fillId="0" borderId="12" xfId="0" applyFont="1" applyBorder="1" applyAlignment="1">
      <alignment horizontal="center" vertical="center" wrapText="1"/>
    </xf>
    <xf numFmtId="0" fontId="36" fillId="0" borderId="12" xfId="0" applyFont="1" applyBorder="1" applyAlignment="1">
      <alignment horizontal="center" vertical="center" wrapText="1"/>
    </xf>
    <xf numFmtId="0" fontId="9" fillId="0" borderId="0" xfId="0" applyFont="1" applyAlignment="1">
      <alignment horizontal="center" vertical="center" wrapText="1"/>
    </xf>
    <xf numFmtId="0" fontId="37" fillId="10" borderId="0" xfId="0" applyFont="1" applyFill="1"/>
    <xf numFmtId="0" fontId="38" fillId="0" borderId="12" xfId="0" applyFont="1" applyBorder="1" applyAlignment="1">
      <alignment horizontal="left" vertical="center" wrapText="1"/>
    </xf>
    <xf numFmtId="0" fontId="39" fillId="0" borderId="12" xfId="0" applyFont="1" applyBorder="1" applyAlignment="1">
      <alignment horizontal="left" vertical="center" wrapText="1"/>
    </xf>
    <xf numFmtId="0" fontId="13" fillId="0" borderId="1" xfId="0" applyFont="1" applyBorder="1" applyAlignment="1">
      <alignment horizontal="center" vertical="center"/>
    </xf>
    <xf numFmtId="0" fontId="13" fillId="0" borderId="7" xfId="0"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0" fontId="9" fillId="0" borderId="3" xfId="0" applyFont="1" applyBorder="1" applyAlignment="1">
      <alignment horizontal="center" vertical="center"/>
    </xf>
    <xf numFmtId="0" fontId="9" fillId="0" borderId="8" xfId="0" applyFont="1" applyBorder="1" applyAlignment="1">
      <alignment horizontal="center" vertical="center"/>
    </xf>
    <xf numFmtId="0" fontId="9" fillId="0" borderId="8" xfId="0" applyFont="1" applyBorder="1" applyAlignment="1">
      <alignment horizontal="left" vertical="center" wrapText="1"/>
    </xf>
    <xf numFmtId="0" fontId="9" fillId="0" borderId="16" xfId="0" applyFont="1" applyBorder="1" applyAlignment="1">
      <alignment vertical="center"/>
    </xf>
    <xf numFmtId="0" fontId="9" fillId="0" borderId="1" xfId="0" applyFont="1" applyBorder="1" applyAlignment="1">
      <alignment horizontal="left" vertical="center"/>
    </xf>
    <xf numFmtId="0" fontId="9" fillId="0" borderId="3" xfId="0" applyFont="1" applyBorder="1" applyAlignment="1">
      <alignment horizontal="left" vertical="center"/>
    </xf>
    <xf numFmtId="0" fontId="9" fillId="0" borderId="1" xfId="0" applyFont="1" applyBorder="1" applyAlignment="1">
      <alignment vertical="center" wrapText="1"/>
    </xf>
    <xf numFmtId="0" fontId="9" fillId="0" borderId="8" xfId="0" applyFont="1" applyBorder="1" applyAlignment="1">
      <alignment vertical="center" wrapText="1"/>
    </xf>
    <xf numFmtId="0" fontId="9" fillId="0" borderId="7" xfId="0" applyFont="1" applyBorder="1" applyAlignment="1">
      <alignment vertical="center" wrapText="1"/>
    </xf>
    <xf numFmtId="0" fontId="9" fillId="0" borderId="3" xfId="0" applyFont="1" applyBorder="1" applyAlignment="1">
      <alignment vertical="center" wrapText="1"/>
    </xf>
    <xf numFmtId="0" fontId="9" fillId="0" borderId="16" xfId="0" applyFont="1" applyBorder="1" applyAlignment="1">
      <alignment vertical="center" wrapText="1"/>
    </xf>
    <xf numFmtId="0" fontId="9" fillId="0" borderId="7" xfId="0" applyFont="1" applyBorder="1" applyAlignment="1">
      <alignment horizontal="left" vertical="center" wrapText="1"/>
    </xf>
    <xf numFmtId="0" fontId="9" fillId="0" borderId="2" xfId="0" applyFont="1" applyBorder="1" applyAlignment="1">
      <alignment vertical="center" wrapText="1"/>
    </xf>
    <xf numFmtId="0" fontId="9" fillId="0" borderId="11" xfId="0" applyFont="1" applyBorder="1" applyAlignment="1">
      <alignment vertical="center" wrapText="1"/>
    </xf>
    <xf numFmtId="0" fontId="9" fillId="0" borderId="7" xfId="0" applyFont="1" applyBorder="1" applyAlignment="1">
      <alignment horizontal="left" vertical="center"/>
    </xf>
    <xf numFmtId="0" fontId="9" fillId="0" borderId="3" xfId="0" applyFont="1" applyBorder="1" applyAlignment="1">
      <alignment horizontal="left" vertical="center" wrapText="1"/>
    </xf>
    <xf numFmtId="0" fontId="9" fillId="0" borderId="8" xfId="0" applyFont="1" applyBorder="1" applyAlignment="1">
      <alignment horizontal="left" vertical="center"/>
    </xf>
    <xf numFmtId="0" fontId="9" fillId="0" borderId="2" xfId="0" applyFont="1" applyBorder="1" applyAlignment="1">
      <alignment horizontal="left" vertical="center" wrapText="1"/>
    </xf>
    <xf numFmtId="0" fontId="9" fillId="0" borderId="5" xfId="0" applyFont="1" applyBorder="1" applyAlignment="1">
      <alignment horizontal="left" vertical="center"/>
    </xf>
    <xf numFmtId="164" fontId="9" fillId="0" borderId="1" xfId="0" applyNumberFormat="1" applyFont="1" applyBorder="1" applyAlignment="1">
      <alignment horizontal="left" vertical="center"/>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9" fillId="0" borderId="32" xfId="0" applyFont="1" applyBorder="1"/>
    <xf numFmtId="0" fontId="15" fillId="0" borderId="0" xfId="0" applyFont="1"/>
    <xf numFmtId="9" fontId="3" fillId="0" borderId="0" xfId="0" applyNumberFormat="1" applyFont="1"/>
    <xf numFmtId="0" fontId="3" fillId="0" borderId="1" xfId="0" applyFont="1" applyBorder="1" applyAlignment="1">
      <alignment vertical="center" wrapText="1"/>
    </xf>
    <xf numFmtId="0" fontId="3" fillId="0" borderId="1" xfId="0" applyFont="1" applyBorder="1" applyAlignment="1">
      <alignment vertical="center"/>
    </xf>
    <xf numFmtId="0" fontId="3" fillId="0" borderId="9" xfId="0" applyFont="1" applyBorder="1"/>
    <xf numFmtId="0" fontId="3" fillId="0" borderId="14" xfId="0" applyFont="1" applyBorder="1"/>
    <xf numFmtId="0" fontId="3" fillId="0" borderId="3" xfId="0" applyFont="1" applyBorder="1" applyAlignment="1">
      <alignment horizontal="center"/>
    </xf>
    <xf numFmtId="0" fontId="2" fillId="0" borderId="2" xfId="0" applyFont="1" applyBorder="1" applyAlignment="1">
      <alignment horizontal="left" vertical="center" wrapText="1"/>
    </xf>
    <xf numFmtId="0" fontId="3" fillId="0" borderId="7" xfId="0" applyFont="1" applyBorder="1" applyAlignment="1">
      <alignment vertical="center" wrapText="1"/>
    </xf>
    <xf numFmtId="0" fontId="12" fillId="0" borderId="2" xfId="0" applyFont="1" applyBorder="1" applyAlignment="1">
      <alignment horizontal="left" vertical="center" wrapText="1"/>
    </xf>
    <xf numFmtId="0" fontId="3" fillId="0" borderId="3" xfId="0" applyFont="1" applyBorder="1" applyAlignment="1">
      <alignment horizontal="left" vertical="center" wrapText="1" readingOrder="1"/>
    </xf>
    <xf numFmtId="0" fontId="6" fillId="0" borderId="3" xfId="0" applyFont="1" applyBorder="1" applyAlignment="1">
      <alignment horizontal="left" vertical="center" wrapText="1" readingOrder="1"/>
    </xf>
    <xf numFmtId="0" fontId="6" fillId="0" borderId="13" xfId="0" applyFont="1" applyBorder="1" applyAlignment="1">
      <alignment horizontal="left" vertical="center" wrapText="1" readingOrder="1"/>
    </xf>
    <xf numFmtId="0" fontId="16" fillId="0" borderId="3" xfId="0" applyFont="1" applyBorder="1" applyAlignment="1">
      <alignment horizontal="left" vertical="center" wrapText="1" readingOrder="1"/>
    </xf>
    <xf numFmtId="0" fontId="3" fillId="0" borderId="6" xfId="0" applyFont="1" applyBorder="1" applyAlignment="1">
      <alignment horizontal="left" vertical="center" wrapText="1"/>
    </xf>
    <xf numFmtId="0" fontId="6" fillId="0" borderId="2" xfId="0" applyFont="1" applyBorder="1" applyAlignment="1">
      <alignment horizontal="left" vertical="center" wrapText="1" readingOrder="1"/>
    </xf>
    <xf numFmtId="0" fontId="26" fillId="0" borderId="2" xfId="0" applyFont="1" applyBorder="1" applyAlignment="1">
      <alignment horizontal="center" vertical="center" wrapText="1" readingOrder="1"/>
    </xf>
    <xf numFmtId="0" fontId="29" fillId="0" borderId="7" xfId="0" applyFont="1" applyBorder="1" applyAlignment="1">
      <alignment horizontal="left" vertical="center" wrapText="1" readingOrder="1"/>
    </xf>
    <xf numFmtId="0" fontId="28" fillId="0" borderId="26" xfId="0" applyFont="1" applyBorder="1" applyAlignment="1">
      <alignment horizontal="left" vertical="center" wrapText="1" readingOrder="1"/>
    </xf>
    <xf numFmtId="0" fontId="9" fillId="0" borderId="0" xfId="0" applyFont="1" applyAlignment="1">
      <alignment horizontal="center"/>
    </xf>
    <xf numFmtId="0" fontId="29" fillId="0" borderId="27" xfId="0" applyFont="1" applyBorder="1" applyAlignment="1">
      <alignment horizontal="left" vertical="center" wrapText="1" readingOrder="1"/>
    </xf>
    <xf numFmtId="0" fontId="28" fillId="0" borderId="22" xfId="0" applyFont="1" applyBorder="1" applyAlignment="1">
      <alignment horizontal="left" vertical="center" wrapText="1" readingOrder="1"/>
    </xf>
    <xf numFmtId="0" fontId="3" fillId="0" borderId="3" xfId="0" applyFont="1" applyBorder="1" applyAlignment="1">
      <alignment horizontal="left" vertical="center" wrapText="1"/>
    </xf>
    <xf numFmtId="0" fontId="29" fillId="0" borderId="11" xfId="0" applyFont="1" applyBorder="1" applyAlignment="1">
      <alignment horizontal="left" vertical="center" wrapText="1" readingOrder="1"/>
    </xf>
    <xf numFmtId="0" fontId="29" fillId="0" borderId="35" xfId="0" applyFont="1" applyBorder="1" applyAlignment="1">
      <alignment horizontal="left" vertical="center" wrapText="1" readingOrder="1"/>
    </xf>
    <xf numFmtId="0" fontId="28" fillId="0" borderId="7" xfId="0" applyFont="1" applyBorder="1" applyAlignment="1">
      <alignment horizontal="left" vertical="center" wrapText="1" readingOrder="1"/>
    </xf>
    <xf numFmtId="0" fontId="28" fillId="0" borderId="33" xfId="0" applyFont="1" applyBorder="1" applyAlignment="1">
      <alignment horizontal="left" vertical="center" wrapText="1" readingOrder="1"/>
    </xf>
    <xf numFmtId="0" fontId="27" fillId="0" borderId="27" xfId="0" applyFont="1" applyBorder="1" applyAlignment="1">
      <alignment horizontal="left" vertical="center" wrapText="1" readingOrder="1"/>
    </xf>
    <xf numFmtId="0" fontId="3" fillId="0" borderId="3" xfId="0" applyFont="1" applyBorder="1" applyAlignment="1">
      <alignment vertical="center" wrapText="1"/>
    </xf>
    <xf numFmtId="0" fontId="28" fillId="0" borderId="21" xfId="0" applyFont="1" applyBorder="1" applyAlignment="1">
      <alignment horizontal="left" vertical="center" wrapText="1" readingOrder="1"/>
    </xf>
    <xf numFmtId="0" fontId="3" fillId="0" borderId="3" xfId="0" applyFont="1" applyBorder="1" applyAlignment="1">
      <alignment wrapText="1"/>
    </xf>
    <xf numFmtId="0" fontId="5" fillId="0" borderId="8" xfId="0" applyFont="1" applyBorder="1" applyAlignment="1"/>
    <xf numFmtId="0" fontId="5" fillId="0" borderId="4" xfId="0" applyFont="1" applyBorder="1" applyAlignment="1"/>
    <xf numFmtId="0" fontId="5" fillId="0" borderId="5" xfId="0" applyFont="1" applyBorder="1" applyAlignment="1"/>
    <xf numFmtId="0" fontId="5" fillId="0" borderId="9" xfId="0" applyFont="1" applyBorder="1" applyAlignment="1"/>
    <xf numFmtId="0" fontId="0" fillId="0" borderId="0" xfId="0" applyAlignment="1"/>
    <xf numFmtId="0" fontId="5" fillId="0" borderId="10" xfId="0" applyFont="1" applyBorder="1" applyAlignment="1"/>
    <xf numFmtId="0" fontId="5" fillId="0" borderId="11" xfId="0" applyFont="1" applyBorder="1" applyAlignment="1"/>
    <xf numFmtId="0" fontId="5" fillId="0" borderId="13" xfId="0" applyFont="1" applyBorder="1" applyAlignment="1"/>
    <xf numFmtId="0" fontId="5" fillId="0" borderId="14" xfId="0" applyFont="1" applyBorder="1" applyAlignment="1"/>
    <xf numFmtId="0" fontId="5" fillId="0" borderId="15" xfId="0" applyFont="1" applyBorder="1" applyAlignment="1"/>
    <xf numFmtId="0" fontId="5" fillId="0" borderId="16" xfId="0" applyFont="1" applyBorder="1" applyAlignment="1"/>
    <xf numFmtId="0" fontId="5" fillId="0" borderId="6" xfId="0" applyFont="1" applyBorder="1" applyAlignment="1"/>
    <xf numFmtId="0" fontId="5" fillId="0" borderId="28" xfId="0" applyFont="1" applyBorder="1" applyAlignment="1"/>
    <xf numFmtId="0" fontId="5" fillId="0" borderId="21" xfId="0" applyFont="1" applyBorder="1" applyAlignment="1"/>
    <xf numFmtId="0" fontId="5" fillId="0" borderId="31" xfId="0" applyFont="1" applyBorder="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7</xdr:row>
      <xdr:rowOff>38100</xdr:rowOff>
    </xdr:to>
    <xdr:sp macro="" textlink="">
      <xdr:nvSpPr>
        <xdr:cNvPr id="1033" name="Text Box 9" hidden="1">
          <a:extLst>
            <a:ext uri="{FF2B5EF4-FFF2-40B4-BE49-F238E27FC236}">
              <a16:creationId xmlns:a16="http://schemas.microsoft.com/office/drawing/2014/main" id="{FFBF03F4-055C-C23E-9F56-67A79D0BF015}"/>
            </a:ext>
          </a:extLst>
        </xdr:cNvPr>
        <xdr:cNvSpPr txBox="1">
          <a:spLocks noChangeArrowheads="1"/>
        </xdr:cNvSpPr>
      </xdr:nvSpPr>
      <xdr:spPr bwMode="auto">
        <a:xfrm>
          <a:off x="485775" y="285750"/>
          <a:ext cx="8639175" cy="10858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32" name="Text Box 8" hidden="1">
          <a:extLst>
            <a:ext uri="{FF2B5EF4-FFF2-40B4-BE49-F238E27FC236}">
              <a16:creationId xmlns:a16="http://schemas.microsoft.com/office/drawing/2014/main" id="{6238D48A-218B-54BA-398F-6C9AF089687B}"/>
            </a:ext>
          </a:extLst>
        </xdr:cNvPr>
        <xdr:cNvSpPr txBox="1">
          <a:spLocks noChangeArrowheads="1"/>
        </xdr:cNvSpPr>
      </xdr:nvSpPr>
      <xdr:spPr bwMode="auto">
        <a:xfrm>
          <a:off x="485775" y="285750"/>
          <a:ext cx="8639175" cy="10858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9" name="Text Box 5" hidden="1">
          <a:extLst>
            <a:ext uri="{FF2B5EF4-FFF2-40B4-BE49-F238E27FC236}">
              <a16:creationId xmlns:a16="http://schemas.microsoft.com/office/drawing/2014/main" id="{E3C74974-E2AC-9EA6-C478-EE6BC8680D46}"/>
            </a:ext>
          </a:extLst>
        </xdr:cNvPr>
        <xdr:cNvSpPr txBox="1">
          <a:spLocks noChangeArrowheads="1"/>
        </xdr:cNvSpPr>
      </xdr:nvSpPr>
      <xdr:spPr bwMode="auto">
        <a:xfrm>
          <a:off x="485775" y="285750"/>
          <a:ext cx="8639175" cy="10858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8" name="Text Box 4" hidden="1">
          <a:extLst>
            <a:ext uri="{FF2B5EF4-FFF2-40B4-BE49-F238E27FC236}">
              <a16:creationId xmlns:a16="http://schemas.microsoft.com/office/drawing/2014/main" id="{2EF36FFB-6ABD-F68B-3E9A-AD830B320050}"/>
            </a:ext>
          </a:extLst>
        </xdr:cNvPr>
        <xdr:cNvSpPr txBox="1">
          <a:spLocks noChangeArrowheads="1"/>
        </xdr:cNvSpPr>
      </xdr:nvSpPr>
      <xdr:spPr bwMode="auto">
        <a:xfrm>
          <a:off x="485775" y="285750"/>
          <a:ext cx="8639175" cy="10858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7" name="Text Box 3" hidden="1">
          <a:extLst>
            <a:ext uri="{FF2B5EF4-FFF2-40B4-BE49-F238E27FC236}">
              <a16:creationId xmlns:a16="http://schemas.microsoft.com/office/drawing/2014/main" id="{6F4709E8-F8EC-8B85-2202-5297C1B87BCA}"/>
            </a:ext>
          </a:extLst>
        </xdr:cNvPr>
        <xdr:cNvSpPr txBox="1">
          <a:spLocks noChangeArrowheads="1"/>
        </xdr:cNvSpPr>
      </xdr:nvSpPr>
      <xdr:spPr bwMode="auto">
        <a:xfrm>
          <a:off x="485775" y="285750"/>
          <a:ext cx="8639175" cy="10858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7</xdr:row>
      <xdr:rowOff>38100</xdr:rowOff>
    </xdr:to>
    <xdr:sp macro="" textlink="">
      <xdr:nvSpPr>
        <xdr:cNvPr id="1025" name="Text Box 1" hidden="1">
          <a:extLst>
            <a:ext uri="{FF2B5EF4-FFF2-40B4-BE49-F238E27FC236}">
              <a16:creationId xmlns:a16="http://schemas.microsoft.com/office/drawing/2014/main" id="{ECDEC8A3-2AE7-32BC-F655-F69A4B40056F}"/>
            </a:ext>
          </a:extLst>
        </xdr:cNvPr>
        <xdr:cNvSpPr txBox="1">
          <a:spLocks noChangeArrowheads="1"/>
        </xdr:cNvSpPr>
      </xdr:nvSpPr>
      <xdr:spPr bwMode="auto">
        <a:xfrm>
          <a:off x="485775" y="285750"/>
          <a:ext cx="8639175" cy="108585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Ángela María Báez-Silva Arias" id="{A9F54276-AA03-487F-B520-E89D9C3F8429}"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7-28T18:46:04.00" personId="{A9F54276-AA03-487F-B520-E89D9C3F8429}" id="{05070553-D5CD-4ECB-91D8-5F94287FA8C3}">
    <text>revisar este cambio de qué historia es* (en la pestaña original)</text>
  </threadedComment>
  <threadedComment ref="E21" dT="2026-08-12T10:14:55.00" personId="{A9F54276-AA03-487F-B520-E89D9C3F8429}" id="{7F7190C9-7E6C-4383-AB8F-6A63E8993D43}" done="1">
    <text>National Advisory Board
Luker (GR + MNZ)
Fortalecimiento de la Intermediación (GOYN B, GOYN BR y generación R) Dani</text>
  </threadedComment>
  <threadedComment ref="C31" dT="2026-08-12T09:44:45.00" personId="{A9F54276-AA03-487F-B520-E89D9C3F8429}" id="{0628717F-E0FB-49F2-8E64-A049DA91569C}">
    <text>Confirmar cifra, iniciativas y roles contra audios</text>
  </threadedComment>
  <threadedComment ref="E32" dT="2026-08-12T09:48:24.00" personId="{A9F54276-AA03-487F-B520-E89D9C3F8429}" id="{F9B14B06-3840-4C0A-A238-0E4F740047D2}">
    <text>Esto es relevante para el diseño final de criterios de triangulación</text>
  </threadedComment>
  <threadedComment ref="B39" dT="2026-08-12T10:27:52.00" personId="{A9F54276-AA03-487F-B520-E89D9C3F8429}" id="{99D8883A-17CB-4DAB-84CA-55F777DF0BC9}">
    <text>Estrictamente hablando esta sesión no es MEL, sino planeación/estrategia</text>
  </threadedComment>
</ThreadedComments>
</file>

<file path=xl/threadedComments/threadedComment2.xml><?xml version="1.0" encoding="utf-8"?>
<ThreadedComments xmlns="http://schemas.microsoft.com/office/spreadsheetml/2018/threadedcomments" xmlns:x="http://schemas.openxmlformats.org/spreadsheetml/2006/main">
  <threadedComment ref="S18" dT="2026-08-12T10:17:14.00" personId="{A9F54276-AA03-487F-B520-E89D9C3F8429}" id="{B6A0178D-C3D9-4471-943A-079BE0CA06C8}">
    <text>Daniel Uribe y Cami R.</text>
  </threadedComment>
  <threadedComment ref="S21" dT="2026-08-12T10:17:24.00" personId="{A9F54276-AA03-487F-B520-E89D9C3F8429}" id="{ABDF557A-1DCA-4EBA-A081-564DB7B7B0A3}">
    <text>Rafa</text>
  </threadedComment>
  <threadedComment ref="S28" dT="2026-08-12T10:17:31.00" personId="{A9F54276-AA03-487F-B520-E89D9C3F8429}" id="{9F13937C-B532-43D6-B78E-CC851F3518C2}">
    <text>Rafa</text>
  </threadedComment>
  <threadedComment ref="B33" dT="2026-08-14T13:20:19.00" personId="{A9F54276-AA03-487F-B520-E89D9C3F8429}" id="{6B864DE2-9AD0-4DD1-9788-BBCF2E208A2A}">
    <text>Las historias de esta Bolsa ya están en otras iniciativas. Entonces es una bolsa que cuenta para presupuesto, pero no como acción independiente, al menos no por este semestre.</text>
  </threadedComment>
  <threadedComment ref="S35" dT="2026-08-12T10:17:38.00" personId="{A9F54276-AA03-487F-B520-E89D9C3F8429}" id="{A8AB5A7D-D35A-4CFF-8900-74D566D0682A}">
    <text>Tatiana</text>
  </threadedComment>
  <threadedComment ref="S38" dT="2026-08-12T10:18:43.00" personId="{A9F54276-AA03-487F-B520-E89D9C3F8429}" id="{D5ADA565-93B2-4EBE-B4FF-5FEA83B4D8F4}">
    <text>Rafa</text>
  </threadedComment>
  <threadedComment ref="S41" dT="2026-08-12T10:17:49.00" personId="{A9F54276-AA03-487F-B520-E89D9C3F8429}" id="{FF6B1EEE-2296-4E0B-87B8-6B2917260371}">
    <text>Rafa</text>
  </threadedComment>
  <threadedComment ref="S42" dT="2026-08-12T10:18:12.00" personId="{A9F54276-AA03-487F-B520-E89D9C3F8429}" id="{2537CAE1-5B3B-45BF-9771-124BCA1CF373}">
    <text>Daniel Uribe y Rafa</text>
  </threadedComment>
  <threadedComment ref="B45" dT="2026-08-12T10:01:17.00" personId="{A9F54276-AA03-487F-B520-E89D9C3F8429}" id="{377946ED-C357-429D-B300-61EA9A8E1898}">
    <text>La agregó Joha en la ultima revisión</text>
  </threadedComment>
</ThreadedComments>
</file>

<file path=xl/threadedComments/threadedComment3.xml><?xml version="1.0" encoding="utf-8"?>
<ThreadedComments xmlns="http://schemas.microsoft.com/office/spreadsheetml/2018/threadedcomments" xmlns:x="http://schemas.openxmlformats.org/spreadsheetml/2006/main">
  <threadedComment ref="A17" dT="2026-08-12T12:42:33.00" personId="{A9F54276-AA03-487F-B520-E89D9C3F8429}" id="{D6087B84-6C56-4E68-8A8B-B18AF67C2247}">
    <text>Es la misma de GOYN Bog 07</text>
  </threadedComment>
</ThreadedComments>
</file>

<file path=xl/threadedComments/threadedComment4.xml><?xml version="1.0" encoding="utf-8"?>
<ThreadedComments xmlns="http://schemas.microsoft.com/office/spreadsheetml/2018/threadedcomments" xmlns:x="http://schemas.openxmlformats.org/spreadsheetml/2006/main">
  <threadedComment ref="D3" dT="2026-07-13T01:44:24.00" personId="{A9F54276-AA03-487F-B520-E89D9C3F8429}" id="{16897057-88E0-47F2-B8ED-2D3186FF49A4}" done="1">
    <text>Paulo puso su pin acá cuando tomó apuntes. revisar</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www.canva.com/design/DAHO_eQq6cA/9nhlHTwuhboRdBm_UUl5LA/edit"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55"/>
  <sheetViews>
    <sheetView tabSelected="1" workbookViewId="0"/>
  </sheetViews>
  <sheetFormatPr defaultColWidth="12.5703125" defaultRowHeight="15" customHeight="1"/>
  <cols>
    <col min="1" max="1" width="5.140625" customWidth="1"/>
    <col min="2" max="2" width="45.42578125" customWidth="1"/>
    <col min="3" max="3" width="32.5703125" customWidth="1"/>
    <col min="4" max="4" width="33.42578125" customWidth="1"/>
    <col min="5" max="5" width="18.140625" customWidth="1"/>
    <col min="6" max="6" width="23.42578125" customWidth="1"/>
    <col min="8" max="8" width="18.28515625" customWidth="1"/>
    <col min="13" max="13" width="16.28515625" customWidth="1"/>
    <col min="14" max="14" width="20.7109375" customWidth="1"/>
    <col min="15" max="15" width="14.42578125" customWidth="1"/>
  </cols>
  <sheetData>
    <row r="1" spans="1:8">
      <c r="B1" s="5" t="s">
        <v>0</v>
      </c>
    </row>
    <row r="2" spans="1:8">
      <c r="B2" s="7" t="s">
        <v>1</v>
      </c>
    </row>
    <row r="3" spans="1:8">
      <c r="B3" s="22" t="s">
        <v>2</v>
      </c>
    </row>
    <row r="4" spans="1:8">
      <c r="B4" s="22" t="s">
        <v>3</v>
      </c>
    </row>
    <row r="5" spans="1:8">
      <c r="B5" s="22" t="s">
        <v>4</v>
      </c>
    </row>
    <row r="6" spans="1:8">
      <c r="B6" s="22" t="s">
        <v>5</v>
      </c>
    </row>
    <row r="8" spans="1:8">
      <c r="B8" s="7" t="s">
        <v>6</v>
      </c>
    </row>
    <row r="9" spans="1:8">
      <c r="B9" s="22" t="s">
        <v>7</v>
      </c>
      <c r="C9" s="22" t="s">
        <v>8</v>
      </c>
    </row>
    <row r="10" spans="1:8">
      <c r="C10" s="22" t="s">
        <v>9</v>
      </c>
    </row>
    <row r="11" spans="1:8">
      <c r="B11" s="7" t="s">
        <v>10</v>
      </c>
      <c r="C11" s="22" t="s">
        <v>11</v>
      </c>
    </row>
    <row r="12" spans="1:8">
      <c r="C12" s="22" t="s">
        <v>12</v>
      </c>
    </row>
    <row r="13" spans="1:8">
      <c r="D13" s="15">
        <f>100/116</f>
        <v>0.86206896551724133</v>
      </c>
      <c r="E13" s="15">
        <f>16/116</f>
        <v>0.13793103448275862</v>
      </c>
    </row>
    <row r="14" spans="1:8">
      <c r="B14" s="16" t="s">
        <v>13</v>
      </c>
      <c r="F14" s="16" t="s">
        <v>14</v>
      </c>
    </row>
    <row r="15" spans="1:8">
      <c r="B15" s="13" t="s">
        <v>15</v>
      </c>
      <c r="C15" s="13">
        <v>28</v>
      </c>
      <c r="D15" s="18">
        <f t="shared" ref="D15:D18" si="0">C15/44</f>
        <v>0.63636363636363635</v>
      </c>
      <c r="F15" s="13" t="s">
        <v>15</v>
      </c>
      <c r="G15" s="13">
        <v>28</v>
      </c>
      <c r="H15" s="18">
        <f t="shared" ref="H15:H18" si="1">G15/41</f>
        <v>0.68292682926829273</v>
      </c>
    </row>
    <row r="16" spans="1:8">
      <c r="B16" s="13" t="s">
        <v>16</v>
      </c>
      <c r="C16" s="13">
        <v>3</v>
      </c>
      <c r="D16" s="18">
        <f t="shared" si="0"/>
        <v>6.8181818181818177E-2</v>
      </c>
      <c r="F16" s="13" t="s">
        <v>16</v>
      </c>
      <c r="G16" s="13">
        <v>3</v>
      </c>
      <c r="H16" s="18">
        <f t="shared" si="1"/>
        <v>7.3170731707317069E-2</v>
      </c>
    </row>
    <row r="17" spans="2:8">
      <c r="B17" s="13" t="s">
        <v>17</v>
      </c>
      <c r="C17" s="13">
        <v>4</v>
      </c>
      <c r="D17" s="18">
        <f t="shared" si="0"/>
        <v>9.0909090909090912E-2</v>
      </c>
      <c r="F17" s="13" t="s">
        <v>17</v>
      </c>
      <c r="G17" s="13">
        <v>2</v>
      </c>
      <c r="H17" s="18">
        <f t="shared" si="1"/>
        <v>4.878048780487805E-2</v>
      </c>
    </row>
    <row r="18" spans="2:8">
      <c r="B18" s="13" t="s">
        <v>18</v>
      </c>
      <c r="C18" s="13">
        <v>9</v>
      </c>
      <c r="D18" s="18">
        <f t="shared" si="0"/>
        <v>0.20454545454545456</v>
      </c>
      <c r="F18" s="13" t="s">
        <v>18</v>
      </c>
      <c r="G18" s="13">
        <v>8</v>
      </c>
      <c r="H18" s="18">
        <f t="shared" si="1"/>
        <v>0.1951219512195122</v>
      </c>
    </row>
    <row r="20" spans="2:8">
      <c r="B20" s="7" t="s">
        <v>19</v>
      </c>
      <c r="D20" s="22"/>
      <c r="E20" s="22"/>
      <c r="F20" s="22"/>
      <c r="G20" s="21"/>
    </row>
    <row r="21" spans="2:8">
      <c r="B21" s="22" t="s">
        <v>20</v>
      </c>
      <c r="C21" s="22">
        <v>43</v>
      </c>
      <c r="D21" s="15">
        <f t="shared" ref="D21:D22" si="2">C21/44</f>
        <v>0.97727272727272729</v>
      </c>
      <c r="E21" s="22" t="s">
        <v>21</v>
      </c>
      <c r="G21" s="22"/>
    </row>
    <row r="22" spans="2:8">
      <c r="B22" s="7" t="s">
        <v>22</v>
      </c>
      <c r="C22" s="24">
        <v>41</v>
      </c>
      <c r="D22" s="15">
        <f t="shared" si="2"/>
        <v>0.93181818181818177</v>
      </c>
      <c r="E22" s="22" t="s">
        <v>23</v>
      </c>
    </row>
    <row r="23" spans="2:8">
      <c r="B23" s="7"/>
    </row>
    <row r="24" spans="2:8">
      <c r="B24" s="7" t="s">
        <v>24</v>
      </c>
    </row>
    <row r="25" spans="2:8">
      <c r="B25" s="22" t="s">
        <v>15</v>
      </c>
      <c r="C25" s="22">
        <v>6</v>
      </c>
      <c r="D25" s="15">
        <f>C25/44</f>
        <v>0.13636363636363635</v>
      </c>
      <c r="E25" s="15">
        <f>6/28</f>
        <v>0.21428571428571427</v>
      </c>
      <c r="F25" s="22" t="s">
        <v>25</v>
      </c>
    </row>
    <row r="27" spans="2:8">
      <c r="B27" s="7" t="s">
        <v>26</v>
      </c>
      <c r="C27" s="22">
        <f>SUM(C28:C32)</f>
        <v>25</v>
      </c>
      <c r="D27" s="170">
        <f t="shared" ref="D27:D32" si="3">C27/25</f>
        <v>1</v>
      </c>
    </row>
    <row r="28" spans="2:8">
      <c r="B28" s="22" t="s">
        <v>27</v>
      </c>
      <c r="C28" s="22">
        <v>5</v>
      </c>
      <c r="D28" s="170">
        <f t="shared" si="3"/>
        <v>0.2</v>
      </c>
    </row>
    <row r="29" spans="2:8">
      <c r="B29" s="22" t="s">
        <v>28</v>
      </c>
      <c r="C29" s="22">
        <v>5</v>
      </c>
      <c r="D29" s="170">
        <f t="shared" si="3"/>
        <v>0.2</v>
      </c>
    </row>
    <row r="30" spans="2:8">
      <c r="B30" s="22" t="s">
        <v>29</v>
      </c>
      <c r="C30" s="22">
        <v>6</v>
      </c>
      <c r="D30" s="170">
        <f t="shared" si="3"/>
        <v>0.24</v>
      </c>
    </row>
    <row r="31" spans="2:8">
      <c r="B31" s="22" t="s">
        <v>30</v>
      </c>
      <c r="C31" s="22">
        <v>3</v>
      </c>
      <c r="D31" s="170">
        <f t="shared" si="3"/>
        <v>0.12</v>
      </c>
    </row>
    <row r="32" spans="2:8">
      <c r="B32" s="22" t="s">
        <v>31</v>
      </c>
      <c r="C32" s="22">
        <v>6</v>
      </c>
      <c r="D32" s="170">
        <f t="shared" si="3"/>
        <v>0.24</v>
      </c>
      <c r="E32" s="22" t="s">
        <v>32</v>
      </c>
    </row>
    <row r="33" spans="2:6">
      <c r="B33" s="32" t="s">
        <v>33</v>
      </c>
      <c r="C33" s="33"/>
      <c r="D33" s="33"/>
    </row>
    <row r="36" spans="2:6">
      <c r="B36" s="34" t="s">
        <v>34</v>
      </c>
      <c r="C36" s="34" t="s">
        <v>35</v>
      </c>
      <c r="D36" s="34" t="s">
        <v>36</v>
      </c>
      <c r="E36" s="34" t="s">
        <v>37</v>
      </c>
      <c r="F36" s="34" t="s">
        <v>38</v>
      </c>
    </row>
    <row r="37" spans="2:6">
      <c r="B37" s="171" t="s">
        <v>39</v>
      </c>
      <c r="C37" s="172" t="s">
        <v>40</v>
      </c>
      <c r="D37" s="36"/>
      <c r="E37" s="36"/>
      <c r="F37" s="36"/>
    </row>
    <row r="38" spans="2:6">
      <c r="B38" s="13" t="s">
        <v>41</v>
      </c>
      <c r="C38" s="13" t="s">
        <v>42</v>
      </c>
      <c r="D38" s="37"/>
      <c r="E38" s="37"/>
      <c r="F38" s="37"/>
    </row>
    <row r="39" spans="2:6">
      <c r="B39" s="13" t="s">
        <v>43</v>
      </c>
      <c r="C39" s="37"/>
      <c r="D39" s="37"/>
      <c r="E39" s="175" t="s">
        <v>44</v>
      </c>
      <c r="F39" s="200"/>
    </row>
    <row r="40" spans="2:6">
      <c r="B40" s="13" t="s">
        <v>45</v>
      </c>
      <c r="C40" s="37"/>
      <c r="D40" s="13" t="s">
        <v>46</v>
      </c>
      <c r="E40" s="37"/>
      <c r="F40" s="37"/>
    </row>
    <row r="41" spans="2:6">
      <c r="B41" s="13" t="s">
        <v>47</v>
      </c>
      <c r="C41" s="37"/>
      <c r="D41" s="37"/>
      <c r="E41" s="13" t="s">
        <v>48</v>
      </c>
      <c r="F41" s="37"/>
    </row>
    <row r="42" spans="2:6">
      <c r="B42" s="13" t="s">
        <v>49</v>
      </c>
      <c r="C42" s="37"/>
      <c r="D42" s="37"/>
      <c r="E42" s="37"/>
      <c r="F42" s="13" t="s">
        <v>50</v>
      </c>
    </row>
    <row r="43" spans="2:6">
      <c r="B43" s="37"/>
      <c r="C43" s="37"/>
      <c r="D43" s="37"/>
      <c r="E43" s="37"/>
      <c r="F43" s="37"/>
    </row>
    <row r="44" spans="2:6">
      <c r="B44" s="37"/>
      <c r="C44" s="37"/>
      <c r="D44" s="37"/>
      <c r="E44" s="37"/>
      <c r="F44" s="37"/>
    </row>
    <row r="46" spans="2:6">
      <c r="B46" s="22" t="s">
        <v>51</v>
      </c>
    </row>
    <row r="47" spans="2:6">
      <c r="B47" s="22" t="s">
        <v>52</v>
      </c>
    </row>
    <row r="48" spans="2:6">
      <c r="B48" s="22" t="s">
        <v>53</v>
      </c>
    </row>
    <row r="49" spans="2:2">
      <c r="B49" s="22" t="s">
        <v>54</v>
      </c>
    </row>
    <row r="50" spans="2:2">
      <c r="B50" s="22" t="s">
        <v>55</v>
      </c>
    </row>
    <row r="55" spans="2:2"/>
  </sheetData>
  <mergeCells count="1">
    <mergeCell ref="E39:F39"/>
  </mergeCells>
  <hyperlinks>
    <hyperlink ref="B1" r:id="rId1" xr:uid="{00000000-0004-0000-0000-000000000000}"/>
  </hyperlinks>
  <pageMargins left="0.7" right="0.7" top="0.75" bottom="0.75" header="0.3" footer="0.3"/>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F7F7F"/>
  </sheetPr>
  <dimension ref="B2:M62"/>
  <sheetViews>
    <sheetView workbookViewId="0"/>
  </sheetViews>
  <sheetFormatPr defaultColWidth="12.5703125" defaultRowHeight="15" customHeight="1"/>
  <cols>
    <col min="1" max="2" width="8.85546875" customWidth="1"/>
    <col min="3" max="3" width="12.140625" customWidth="1"/>
    <col min="4" max="4" width="11.140625" customWidth="1"/>
    <col min="5" max="5" width="11" customWidth="1"/>
    <col min="6" max="11" width="8.85546875" customWidth="1"/>
    <col min="12" max="12" width="97.140625" customWidth="1"/>
    <col min="13" max="13" width="64.85546875" customWidth="1"/>
    <col min="14" max="14" width="8.85546875" customWidth="1"/>
    <col min="15" max="15" width="21" customWidth="1"/>
    <col min="16" max="16" width="8.85546875" customWidth="1"/>
  </cols>
  <sheetData>
    <row r="2" spans="2:13" ht="15" customHeight="1">
      <c r="B2" s="176" t="s">
        <v>56</v>
      </c>
      <c r="C2" s="201"/>
      <c r="D2" s="201"/>
      <c r="E2" s="201"/>
      <c r="F2" s="201"/>
      <c r="G2" s="201"/>
      <c r="H2" s="201"/>
      <c r="I2" s="201"/>
      <c r="J2" s="201"/>
      <c r="K2" s="202"/>
      <c r="L2" s="177" t="s">
        <v>57</v>
      </c>
      <c r="M2" s="177"/>
    </row>
    <row r="3" spans="2:13">
      <c r="B3" s="203"/>
      <c r="C3" s="204"/>
      <c r="D3" s="204"/>
      <c r="E3" s="204"/>
      <c r="F3" s="204"/>
      <c r="G3" s="204"/>
      <c r="H3" s="204"/>
      <c r="I3" s="204"/>
      <c r="J3" s="204"/>
      <c r="K3" s="205"/>
      <c r="L3" s="206"/>
      <c r="M3" s="206"/>
    </row>
    <row r="4" spans="2:13">
      <c r="B4" s="203"/>
      <c r="C4" s="204"/>
      <c r="D4" s="204"/>
      <c r="E4" s="204"/>
      <c r="F4" s="204"/>
      <c r="G4" s="204"/>
      <c r="H4" s="204"/>
      <c r="I4" s="204"/>
      <c r="J4" s="204"/>
      <c r="K4" s="205"/>
      <c r="L4" s="206"/>
      <c r="M4" s="206"/>
    </row>
    <row r="5" spans="2:13" ht="14.25" customHeight="1">
      <c r="B5" s="203"/>
      <c r="C5" s="204"/>
      <c r="D5" s="204"/>
      <c r="E5" s="204"/>
      <c r="F5" s="204"/>
      <c r="G5" s="204"/>
      <c r="H5" s="204"/>
      <c r="I5" s="204"/>
      <c r="J5" s="204"/>
      <c r="K5" s="205"/>
      <c r="L5" s="206"/>
      <c r="M5" s="206"/>
    </row>
    <row r="6" spans="2:13">
      <c r="B6" s="203"/>
      <c r="C6" s="204"/>
      <c r="D6" s="204"/>
      <c r="E6" s="204"/>
      <c r="F6" s="204"/>
      <c r="G6" s="204"/>
      <c r="H6" s="204"/>
      <c r="I6" s="204"/>
      <c r="J6" s="204"/>
      <c r="K6" s="205"/>
      <c r="L6" s="206"/>
      <c r="M6" s="206"/>
    </row>
    <row r="7" spans="2:13" ht="18">
      <c r="B7" s="203"/>
      <c r="C7" s="204"/>
      <c r="D7" s="204"/>
      <c r="E7" s="204"/>
      <c r="F7" s="204"/>
      <c r="G7" s="204"/>
      <c r="H7" s="204"/>
      <c r="I7" s="204"/>
      <c r="J7" s="204"/>
      <c r="K7" s="205"/>
      <c r="L7" s="206"/>
      <c r="M7" s="206"/>
    </row>
    <row r="8" spans="2:13" ht="99" customHeight="1">
      <c r="B8" s="203"/>
      <c r="C8" s="204"/>
      <c r="D8" s="204"/>
      <c r="E8" s="204"/>
      <c r="F8" s="204"/>
      <c r="G8" s="204"/>
      <c r="H8" s="204"/>
      <c r="I8" s="204"/>
      <c r="J8" s="204"/>
      <c r="K8" s="205"/>
      <c r="L8" s="206"/>
      <c r="M8" s="206"/>
    </row>
    <row r="9" spans="2:13" ht="65.25" customHeight="1">
      <c r="B9" s="203"/>
      <c r="C9" s="204"/>
      <c r="D9" s="204"/>
      <c r="E9" s="204"/>
      <c r="F9" s="204"/>
      <c r="G9" s="204"/>
      <c r="H9" s="204"/>
      <c r="I9" s="204"/>
      <c r="J9" s="204"/>
      <c r="K9" s="205"/>
      <c r="L9" s="206"/>
      <c r="M9" s="206"/>
    </row>
    <row r="10" spans="2:13" ht="18">
      <c r="B10" s="203"/>
      <c r="C10" s="204"/>
      <c r="D10" s="204"/>
      <c r="E10" s="204"/>
      <c r="F10" s="204"/>
      <c r="G10" s="204"/>
      <c r="H10" s="204"/>
      <c r="I10" s="204"/>
      <c r="J10" s="204"/>
      <c r="K10" s="205"/>
      <c r="L10" s="206"/>
      <c r="M10" s="206"/>
    </row>
    <row r="11" spans="2:13">
      <c r="B11" s="203"/>
      <c r="C11" s="204"/>
      <c r="D11" s="204"/>
      <c r="E11" s="204"/>
      <c r="F11" s="204"/>
      <c r="G11" s="204"/>
      <c r="H11" s="204"/>
      <c r="I11" s="204"/>
      <c r="J11" s="204"/>
      <c r="K11" s="205"/>
      <c r="L11" s="206"/>
      <c r="M11" s="206"/>
    </row>
    <row r="12" spans="2:13">
      <c r="B12" s="203"/>
      <c r="C12" s="204"/>
      <c r="D12" s="204"/>
      <c r="E12" s="204"/>
      <c r="F12" s="204"/>
      <c r="G12" s="204"/>
      <c r="H12" s="204"/>
      <c r="I12" s="204"/>
      <c r="J12" s="204"/>
      <c r="K12" s="205"/>
      <c r="L12" s="206"/>
      <c r="M12" s="206"/>
    </row>
    <row r="13" spans="2:13">
      <c r="B13" s="203"/>
      <c r="C13" s="204"/>
      <c r="D13" s="204"/>
      <c r="E13" s="204"/>
      <c r="F13" s="204"/>
      <c r="G13" s="204"/>
      <c r="H13" s="204"/>
      <c r="I13" s="204"/>
      <c r="J13" s="204"/>
      <c r="K13" s="205"/>
      <c r="L13" s="206"/>
      <c r="M13" s="206"/>
    </row>
    <row r="14" spans="2:13">
      <c r="B14" s="203"/>
      <c r="C14" s="204"/>
      <c r="D14" s="204"/>
      <c r="E14" s="204"/>
      <c r="F14" s="204"/>
      <c r="G14" s="204"/>
      <c r="H14" s="204"/>
      <c r="I14" s="204"/>
      <c r="J14" s="204"/>
      <c r="K14" s="205"/>
      <c r="L14" s="206"/>
      <c r="M14" s="206"/>
    </row>
    <row r="15" spans="2:13">
      <c r="B15" s="203"/>
      <c r="C15" s="204"/>
      <c r="D15" s="204"/>
      <c r="E15" s="204"/>
      <c r="F15" s="204"/>
      <c r="G15" s="204"/>
      <c r="H15" s="204"/>
      <c r="I15" s="204"/>
      <c r="J15" s="204"/>
      <c r="K15" s="205"/>
      <c r="L15" s="206"/>
      <c r="M15" s="206"/>
    </row>
    <row r="16" spans="2:13">
      <c r="B16" s="203"/>
      <c r="C16" s="204"/>
      <c r="D16" s="204"/>
      <c r="E16" s="204"/>
      <c r="F16" s="204"/>
      <c r="G16" s="204"/>
      <c r="H16" s="204"/>
      <c r="I16" s="204"/>
      <c r="J16" s="204"/>
      <c r="K16" s="205"/>
      <c r="L16" s="206"/>
      <c r="M16" s="206"/>
    </row>
    <row r="17" spans="2:13">
      <c r="B17" s="203"/>
      <c r="C17" s="204"/>
      <c r="D17" s="204"/>
      <c r="E17" s="204"/>
      <c r="F17" s="204"/>
      <c r="G17" s="204"/>
      <c r="H17" s="204"/>
      <c r="I17" s="204"/>
      <c r="J17" s="204"/>
      <c r="K17" s="205"/>
      <c r="L17" s="206"/>
      <c r="M17" s="206"/>
    </row>
    <row r="18" spans="2:13">
      <c r="B18" s="203"/>
      <c r="C18" s="204"/>
      <c r="D18" s="204"/>
      <c r="E18" s="204"/>
      <c r="F18" s="204"/>
      <c r="G18" s="204"/>
      <c r="H18" s="204"/>
      <c r="I18" s="204"/>
      <c r="J18" s="204"/>
      <c r="K18" s="205"/>
      <c r="L18" s="206"/>
      <c r="M18" s="206"/>
    </row>
    <row r="19" spans="2:13" ht="15.75" customHeight="1">
      <c r="B19" s="207"/>
      <c r="C19" s="208"/>
      <c r="D19" s="208"/>
      <c r="E19" s="208"/>
      <c r="F19" s="208"/>
      <c r="G19" s="208"/>
      <c r="H19" s="208"/>
      <c r="I19" s="208"/>
      <c r="J19" s="208"/>
      <c r="K19" s="209"/>
      <c r="L19" s="210"/>
      <c r="M19" s="210"/>
    </row>
    <row r="20" spans="2:13" ht="15" customHeight="1">
      <c r="B20" s="178" t="s">
        <v>58</v>
      </c>
      <c r="C20" s="201"/>
      <c r="D20" s="201"/>
      <c r="E20" s="201"/>
      <c r="F20" s="201"/>
      <c r="G20" s="201"/>
      <c r="H20" s="201"/>
      <c r="I20" s="201"/>
      <c r="J20" s="201"/>
      <c r="K20" s="201"/>
      <c r="L20" s="202"/>
    </row>
    <row r="21" spans="2:13" ht="15" customHeight="1">
      <c r="B21" s="203"/>
      <c r="C21" s="204"/>
      <c r="D21" s="204"/>
      <c r="E21" s="204"/>
      <c r="F21" s="204"/>
      <c r="G21" s="204"/>
      <c r="H21" s="204"/>
      <c r="I21" s="204"/>
      <c r="J21" s="204"/>
      <c r="K21" s="204"/>
      <c r="L21" s="205"/>
      <c r="M21" s="21"/>
    </row>
    <row r="22" spans="2:13" ht="15.75" customHeight="1">
      <c r="B22" s="203"/>
      <c r="C22" s="204"/>
      <c r="D22" s="204"/>
      <c r="E22" s="204"/>
      <c r="F22" s="204"/>
      <c r="G22" s="204"/>
      <c r="H22" s="204"/>
      <c r="I22" s="204"/>
      <c r="J22" s="204"/>
      <c r="K22" s="204"/>
      <c r="L22" s="205"/>
      <c r="M22" s="22"/>
    </row>
    <row r="23" spans="2:13" ht="15" customHeight="1">
      <c r="B23" s="203"/>
      <c r="C23" s="204"/>
      <c r="D23" s="204"/>
      <c r="E23" s="204"/>
      <c r="F23" s="204"/>
      <c r="G23" s="204"/>
      <c r="H23" s="204"/>
      <c r="I23" s="204"/>
      <c r="J23" s="204"/>
      <c r="K23" s="204"/>
      <c r="L23" s="205"/>
      <c r="M23" s="22"/>
    </row>
    <row r="24" spans="2:13" ht="15.75" customHeight="1">
      <c r="B24" s="203"/>
      <c r="C24" s="204"/>
      <c r="D24" s="204"/>
      <c r="E24" s="204"/>
      <c r="F24" s="204"/>
      <c r="G24" s="204"/>
      <c r="H24" s="204"/>
      <c r="I24" s="204"/>
      <c r="J24" s="204"/>
      <c r="K24" s="204"/>
      <c r="L24" s="205"/>
      <c r="M24" s="22"/>
    </row>
    <row r="25" spans="2:13" ht="15.75" customHeight="1">
      <c r="B25" s="203"/>
      <c r="C25" s="204"/>
      <c r="D25" s="204"/>
      <c r="E25" s="204"/>
      <c r="F25" s="204"/>
      <c r="G25" s="204"/>
      <c r="H25" s="204"/>
      <c r="I25" s="204"/>
      <c r="J25" s="204"/>
      <c r="K25" s="204"/>
      <c r="L25" s="205"/>
      <c r="M25" s="22"/>
    </row>
    <row r="26" spans="2:13" ht="15.75" customHeight="1">
      <c r="B26" s="203"/>
      <c r="C26" s="204"/>
      <c r="D26" s="204"/>
      <c r="E26" s="204"/>
      <c r="F26" s="204"/>
      <c r="G26" s="204"/>
      <c r="H26" s="204"/>
      <c r="I26" s="204"/>
      <c r="J26" s="204"/>
      <c r="K26" s="204"/>
      <c r="L26" s="205"/>
    </row>
    <row r="27" spans="2:13" ht="15.75" customHeight="1">
      <c r="B27" s="207"/>
      <c r="C27" s="208"/>
      <c r="D27" s="208"/>
      <c r="E27" s="208"/>
      <c r="F27" s="208"/>
      <c r="G27" s="208"/>
      <c r="H27" s="208"/>
      <c r="I27" s="208"/>
      <c r="J27" s="208"/>
      <c r="K27" s="208"/>
      <c r="L27" s="209"/>
    </row>
    <row r="28" spans="2:13" ht="15.75" customHeight="1"/>
    <row r="29" spans="2:13" ht="15.75" customHeight="1">
      <c r="B29" s="26" t="s">
        <v>59</v>
      </c>
      <c r="C29" s="27"/>
      <c r="D29" s="27"/>
      <c r="E29" s="27"/>
      <c r="F29" s="27"/>
      <c r="G29" s="27"/>
      <c r="H29" s="27"/>
      <c r="I29" s="27"/>
      <c r="J29" s="27"/>
      <c r="K29" s="28"/>
    </row>
    <row r="30" spans="2:13" ht="15.75" customHeight="1">
      <c r="B30" s="173" t="s">
        <v>60</v>
      </c>
      <c r="C30" s="22" t="s">
        <v>61</v>
      </c>
      <c r="K30" s="29"/>
    </row>
    <row r="31" spans="2:13" ht="15.75" customHeight="1">
      <c r="B31" s="30"/>
      <c r="C31" s="21"/>
      <c r="D31" s="22" t="s">
        <v>62</v>
      </c>
      <c r="E31" s="22" t="s">
        <v>63</v>
      </c>
      <c r="H31" s="31"/>
      <c r="K31" s="29"/>
    </row>
    <row r="32" spans="2:13" ht="15.75" customHeight="1">
      <c r="B32" s="30"/>
      <c r="C32" s="21"/>
      <c r="D32" s="22" t="s">
        <v>64</v>
      </c>
      <c r="E32" s="22" t="s">
        <v>65</v>
      </c>
      <c r="K32" s="29"/>
    </row>
    <row r="33" spans="2:5" ht="15.75" customHeight="1">
      <c r="B33" s="30"/>
      <c r="C33" s="21"/>
      <c r="D33" s="22" t="s">
        <v>66</v>
      </c>
      <c r="E33" s="22" t="s">
        <v>67</v>
      </c>
    </row>
    <row r="34" spans="2:5" ht="15.75" customHeight="1">
      <c r="B34" s="30"/>
      <c r="C34" s="21"/>
      <c r="D34" s="22" t="s">
        <v>68</v>
      </c>
      <c r="E34" s="22" t="s">
        <v>69</v>
      </c>
    </row>
    <row r="35" spans="2:5" ht="15.75" customHeight="1">
      <c r="B35" s="173" t="s">
        <v>70</v>
      </c>
      <c r="C35" s="22" t="s">
        <v>71</v>
      </c>
    </row>
    <row r="36" spans="2:5" ht="15.75" customHeight="1">
      <c r="B36" s="30"/>
      <c r="C36" s="21"/>
      <c r="D36" s="22" t="s">
        <v>72</v>
      </c>
    </row>
    <row r="37" spans="2:5" ht="15.75" customHeight="1">
      <c r="B37" s="173" t="s">
        <v>73</v>
      </c>
      <c r="C37" s="22" t="s">
        <v>74</v>
      </c>
      <c r="D37" s="22"/>
    </row>
    <row r="38" spans="2:5" ht="15.75" customHeight="1">
      <c r="B38" s="173" t="s">
        <v>75</v>
      </c>
      <c r="C38" s="22" t="s">
        <v>76</v>
      </c>
    </row>
    <row r="39" spans="2:5" ht="15.75" customHeight="1">
      <c r="B39" s="30"/>
      <c r="D39" s="35" t="s">
        <v>77</v>
      </c>
      <c r="E39" s="35" t="s">
        <v>78</v>
      </c>
    </row>
    <row r="40" spans="2:5" ht="15.75" customHeight="1">
      <c r="B40" s="30"/>
      <c r="D40" s="35" t="s">
        <v>79</v>
      </c>
      <c r="E40" s="35" t="s">
        <v>80</v>
      </c>
    </row>
    <row r="41" spans="2:5" ht="15.75" customHeight="1">
      <c r="B41" s="30"/>
      <c r="D41" s="35" t="s">
        <v>81</v>
      </c>
      <c r="E41" s="35" t="s">
        <v>4</v>
      </c>
    </row>
    <row r="42" spans="2:5" ht="15.75" customHeight="1">
      <c r="B42" s="30"/>
      <c r="D42" s="35" t="s">
        <v>82</v>
      </c>
      <c r="E42" s="35" t="s">
        <v>5</v>
      </c>
    </row>
    <row r="43" spans="2:5" ht="15.75" customHeight="1">
      <c r="B43" s="30"/>
      <c r="D43" s="35" t="s">
        <v>83</v>
      </c>
      <c r="E43" s="35" t="s">
        <v>84</v>
      </c>
    </row>
    <row r="44" spans="2:5" ht="15.75" customHeight="1">
      <c r="B44" s="30"/>
      <c r="D44" s="35" t="s">
        <v>9</v>
      </c>
      <c r="E44" s="35" t="s">
        <v>85</v>
      </c>
    </row>
    <row r="45" spans="2:5" ht="15.75" customHeight="1">
      <c r="B45" s="30"/>
      <c r="D45" s="35" t="s">
        <v>86</v>
      </c>
      <c r="E45" s="35" t="s">
        <v>87</v>
      </c>
    </row>
    <row r="46" spans="2:5" ht="15.75" customHeight="1">
      <c r="B46" s="30"/>
      <c r="D46" s="35" t="s">
        <v>88</v>
      </c>
      <c r="E46" s="35" t="s">
        <v>89</v>
      </c>
    </row>
    <row r="47" spans="2:5" ht="15.75" customHeight="1">
      <c r="B47" s="30"/>
      <c r="D47" s="35" t="s">
        <v>90</v>
      </c>
      <c r="E47" s="35" t="s">
        <v>91</v>
      </c>
    </row>
    <row r="48" spans="2:5" ht="15.75" customHeight="1">
      <c r="B48" s="173" t="s">
        <v>92</v>
      </c>
      <c r="C48" s="22" t="s">
        <v>93</v>
      </c>
    </row>
    <row r="49" spans="2:6" ht="15.75" customHeight="1">
      <c r="B49" s="30"/>
      <c r="C49" s="21"/>
      <c r="D49" s="35" t="s">
        <v>94</v>
      </c>
      <c r="E49" s="35" t="s">
        <v>95</v>
      </c>
    </row>
    <row r="50" spans="2:6" ht="15.75" customHeight="1">
      <c r="B50" s="30"/>
      <c r="C50" s="21"/>
      <c r="D50" s="35" t="s">
        <v>63</v>
      </c>
      <c r="E50" s="22" t="s">
        <v>96</v>
      </c>
    </row>
    <row r="51" spans="2:6" ht="15.75" customHeight="1">
      <c r="B51" s="30"/>
      <c r="C51" s="21"/>
      <c r="D51" s="35" t="s">
        <v>97</v>
      </c>
      <c r="E51" s="35" t="s">
        <v>98</v>
      </c>
    </row>
    <row r="52" spans="2:6" ht="15.75" customHeight="1">
      <c r="B52" s="30"/>
      <c r="C52" s="21"/>
      <c r="D52" s="35" t="s">
        <v>67</v>
      </c>
      <c r="E52" s="35" t="s">
        <v>99</v>
      </c>
    </row>
    <row r="53" spans="2:6" ht="15.75" customHeight="1">
      <c r="B53" s="30"/>
      <c r="C53" s="21"/>
      <c r="D53" s="35" t="s">
        <v>100</v>
      </c>
      <c r="E53" s="35" t="s">
        <v>101</v>
      </c>
    </row>
    <row r="54" spans="2:6" ht="15.75" customHeight="1">
      <c r="B54" s="173"/>
      <c r="C54" s="22"/>
    </row>
    <row r="55" spans="2:6" ht="15.75" customHeight="1">
      <c r="B55" s="30"/>
      <c r="C55" s="21" t="s">
        <v>102</v>
      </c>
      <c r="D55" s="179" t="s">
        <v>103</v>
      </c>
      <c r="E55" s="211"/>
      <c r="F55" s="200"/>
    </row>
    <row r="56" spans="2:6" ht="15.75" customHeight="1">
      <c r="B56" s="30"/>
      <c r="C56" s="21"/>
      <c r="D56" s="22"/>
      <c r="E56" s="22"/>
    </row>
    <row r="57" spans="2:6" ht="15.75" customHeight="1">
      <c r="B57" s="40" t="s">
        <v>104</v>
      </c>
      <c r="C57" s="21"/>
      <c r="D57" s="22"/>
      <c r="E57" s="22"/>
    </row>
    <row r="58" spans="2:6" ht="15" customHeight="1">
      <c r="B58" s="173" t="s">
        <v>105</v>
      </c>
      <c r="C58" s="21"/>
      <c r="D58" s="22"/>
      <c r="E58" s="22"/>
    </row>
    <row r="59" spans="2:6" ht="14.25" customHeight="1">
      <c r="B59" s="30"/>
      <c r="C59" s="22"/>
      <c r="D59" s="22" t="s">
        <v>106</v>
      </c>
      <c r="E59" s="22" t="s">
        <v>107</v>
      </c>
    </row>
    <row r="60" spans="2:6" ht="15.75" customHeight="1">
      <c r="B60" s="30"/>
      <c r="C60" s="22"/>
      <c r="D60" s="22" t="s">
        <v>108</v>
      </c>
      <c r="E60" s="22" t="s">
        <v>109</v>
      </c>
    </row>
    <row r="61" spans="2:6" ht="15.75" customHeight="1">
      <c r="B61" s="30"/>
      <c r="C61" s="22"/>
      <c r="D61" s="22" t="s">
        <v>110</v>
      </c>
      <c r="E61" s="22" t="s">
        <v>111</v>
      </c>
    </row>
    <row r="62" spans="2:6" ht="15.75" customHeight="1">
      <c r="B62" s="41"/>
      <c r="C62" s="42"/>
      <c r="D62" s="42" t="s">
        <v>112</v>
      </c>
      <c r="E62" s="174" t="s">
        <v>113</v>
      </c>
      <c r="F62" s="42"/>
    </row>
  </sheetData>
  <mergeCells count="5">
    <mergeCell ref="B2:K19"/>
    <mergeCell ref="L2:L19"/>
    <mergeCell ref="M2:M19"/>
    <mergeCell ref="B20:L27"/>
    <mergeCell ref="D55:F55"/>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W979"/>
  <sheetViews>
    <sheetView workbookViewId="0">
      <pane xSplit="2" ySplit="1" topLeftCell="C2" activePane="bottomRight" state="frozen"/>
      <selection pane="bottomRight" activeCell="C2" sqref="C2"/>
      <selection pane="bottomLeft" activeCell="A2" sqref="A2"/>
      <selection pane="topRight" activeCell="C1" sqref="C1"/>
    </sheetView>
  </sheetViews>
  <sheetFormatPr defaultColWidth="12.5703125" defaultRowHeight="15" customHeight="1"/>
  <cols>
    <col min="1" max="1" width="5.140625" customWidth="1"/>
    <col min="2" max="2" width="35.28515625" customWidth="1"/>
    <col min="3" max="8" width="8.7109375" customWidth="1"/>
    <col min="9" max="9" width="16" customWidth="1"/>
    <col min="10" max="10" width="12.85546875" customWidth="1"/>
    <col min="11" max="11" width="15.42578125" customWidth="1"/>
    <col min="12" max="12" width="12.140625" customWidth="1"/>
    <col min="13" max="13" width="13.85546875" customWidth="1"/>
    <col min="14" max="14" width="12.7109375" customWidth="1"/>
    <col min="15" max="15" width="13.42578125" customWidth="1"/>
    <col min="17" max="17" width="15.42578125" customWidth="1"/>
    <col min="19" max="19" width="11.42578125" customWidth="1"/>
    <col min="20" max="20" width="12.5703125" customWidth="1"/>
  </cols>
  <sheetData>
    <row r="1" spans="1:20">
      <c r="A1" s="1" t="s">
        <v>114</v>
      </c>
      <c r="B1" s="3" t="s">
        <v>115</v>
      </c>
      <c r="C1" s="3" t="s">
        <v>116</v>
      </c>
      <c r="D1" s="3" t="s">
        <v>117</v>
      </c>
      <c r="E1" s="3" t="s">
        <v>118</v>
      </c>
      <c r="F1" s="3" t="s">
        <v>119</v>
      </c>
      <c r="G1" s="3" t="s">
        <v>120</v>
      </c>
      <c r="H1" s="3" t="s">
        <v>121</v>
      </c>
      <c r="I1" s="1" t="s">
        <v>122</v>
      </c>
      <c r="J1" s="6" t="s">
        <v>123</v>
      </c>
      <c r="K1" s="3" t="s">
        <v>124</v>
      </c>
      <c r="L1" s="3" t="s">
        <v>125</v>
      </c>
      <c r="M1" s="3" t="s">
        <v>126</v>
      </c>
      <c r="N1" s="3" t="s">
        <v>127</v>
      </c>
      <c r="O1" s="3" t="s">
        <v>128</v>
      </c>
      <c r="P1" s="3" t="s">
        <v>129</v>
      </c>
      <c r="Q1" s="3" t="s">
        <v>130</v>
      </c>
      <c r="R1" s="8" t="s">
        <v>131</v>
      </c>
      <c r="S1" s="8" t="s">
        <v>132</v>
      </c>
      <c r="T1" s="8" t="s">
        <v>133</v>
      </c>
    </row>
    <row r="2" spans="1:20">
      <c r="A2" s="11">
        <v>1</v>
      </c>
      <c r="B2" s="12" t="s">
        <v>134</v>
      </c>
      <c r="C2" s="13" t="s">
        <v>135</v>
      </c>
      <c r="D2" s="13"/>
      <c r="E2" s="13"/>
      <c r="F2" s="13"/>
      <c r="G2" s="13"/>
      <c r="H2" s="13"/>
      <c r="I2" s="12" t="s">
        <v>62</v>
      </c>
      <c r="J2" s="13" t="s">
        <v>81</v>
      </c>
      <c r="K2" s="13" t="s">
        <v>124</v>
      </c>
      <c r="L2" s="12"/>
      <c r="M2" s="12"/>
      <c r="N2" s="12"/>
      <c r="O2" s="12"/>
      <c r="P2" s="17" t="s">
        <v>136</v>
      </c>
      <c r="Q2" s="17" t="s">
        <v>136</v>
      </c>
      <c r="R2" s="13" t="s">
        <v>137</v>
      </c>
      <c r="S2" s="13" t="s">
        <v>138</v>
      </c>
      <c r="T2" s="13" t="s">
        <v>133</v>
      </c>
    </row>
    <row r="3" spans="1:20">
      <c r="A3" s="17">
        <v>2</v>
      </c>
      <c r="B3" s="13" t="s">
        <v>139</v>
      </c>
      <c r="C3" s="13" t="s">
        <v>140</v>
      </c>
      <c r="D3" s="13"/>
      <c r="E3" s="13"/>
      <c r="F3" s="13"/>
      <c r="G3" s="13"/>
      <c r="H3" s="13"/>
      <c r="I3" s="12" t="s">
        <v>62</v>
      </c>
      <c r="J3" s="13" t="s">
        <v>79</v>
      </c>
      <c r="K3" s="13" t="s">
        <v>141</v>
      </c>
      <c r="L3" s="12"/>
      <c r="M3" s="12"/>
      <c r="N3" s="12"/>
      <c r="O3" s="12"/>
      <c r="P3" s="19"/>
      <c r="Q3" s="19"/>
      <c r="R3" s="13" t="s">
        <v>142</v>
      </c>
      <c r="S3" s="13" t="s">
        <v>138</v>
      </c>
      <c r="T3" s="12"/>
    </row>
    <row r="4" spans="1:20">
      <c r="A4" s="17">
        <v>3</v>
      </c>
      <c r="B4" s="12" t="s">
        <v>143</v>
      </c>
      <c r="C4" s="13" t="s">
        <v>144</v>
      </c>
      <c r="D4" s="13"/>
      <c r="E4" s="13"/>
      <c r="F4" s="13"/>
      <c r="G4" s="13"/>
      <c r="H4" s="13"/>
      <c r="I4" s="12" t="s">
        <v>62</v>
      </c>
      <c r="J4" s="13" t="s">
        <v>79</v>
      </c>
      <c r="K4" s="13" t="s">
        <v>124</v>
      </c>
      <c r="L4" s="12"/>
      <c r="M4" s="12"/>
      <c r="N4" s="12"/>
      <c r="O4" s="12"/>
      <c r="P4" s="20" t="s">
        <v>145</v>
      </c>
      <c r="Q4" s="20" t="s">
        <v>146</v>
      </c>
      <c r="R4" s="13" t="s">
        <v>147</v>
      </c>
      <c r="S4" s="13" t="s">
        <v>138</v>
      </c>
      <c r="T4" s="12"/>
    </row>
    <row r="5" spans="1:20">
      <c r="A5" s="11">
        <v>4</v>
      </c>
      <c r="B5" s="12" t="s">
        <v>148</v>
      </c>
      <c r="C5" s="13" t="s">
        <v>149</v>
      </c>
      <c r="D5" s="13"/>
      <c r="E5" s="13"/>
      <c r="F5" s="13"/>
      <c r="G5" s="13"/>
      <c r="H5" s="13"/>
      <c r="I5" s="12" t="s">
        <v>62</v>
      </c>
      <c r="J5" s="23" t="s">
        <v>81</v>
      </c>
      <c r="K5" s="12"/>
      <c r="L5" s="12"/>
      <c r="M5" s="12"/>
      <c r="N5" s="12"/>
      <c r="O5" s="12"/>
      <c r="P5" s="17" t="s">
        <v>150</v>
      </c>
      <c r="Q5" s="17" t="s">
        <v>151</v>
      </c>
      <c r="R5" s="23" t="s">
        <v>152</v>
      </c>
      <c r="S5" s="25"/>
      <c r="T5" s="12"/>
    </row>
    <row r="6" spans="1:20">
      <c r="A6" s="17">
        <v>5</v>
      </c>
      <c r="B6" s="12" t="s">
        <v>153</v>
      </c>
      <c r="C6" s="13" t="s">
        <v>154</v>
      </c>
      <c r="D6" s="13"/>
      <c r="E6" s="13"/>
      <c r="F6" s="13"/>
      <c r="G6" s="13"/>
      <c r="H6" s="13"/>
      <c r="I6" s="12" t="s">
        <v>62</v>
      </c>
      <c r="J6" s="13" t="s">
        <v>82</v>
      </c>
      <c r="K6" s="12"/>
      <c r="L6" s="12"/>
      <c r="M6" s="12"/>
      <c r="N6" s="12"/>
      <c r="O6" s="12"/>
      <c r="P6" s="19"/>
      <c r="Q6" s="19"/>
      <c r="R6" s="13" t="s">
        <v>137</v>
      </c>
      <c r="S6" s="13" t="s">
        <v>138</v>
      </c>
      <c r="T6" s="12"/>
    </row>
    <row r="7" spans="1:20">
      <c r="A7" s="11">
        <v>6</v>
      </c>
      <c r="B7" s="13" t="s">
        <v>155</v>
      </c>
      <c r="C7" s="13" t="s">
        <v>156</v>
      </c>
      <c r="D7" s="13"/>
      <c r="E7" s="13"/>
      <c r="F7" s="13"/>
      <c r="G7" s="13"/>
      <c r="H7" s="13"/>
      <c r="I7" s="12" t="s">
        <v>62</v>
      </c>
      <c r="J7" s="13" t="s">
        <v>77</v>
      </c>
      <c r="K7" s="12"/>
      <c r="L7" s="12"/>
      <c r="M7" s="12"/>
      <c r="N7" s="12"/>
      <c r="O7" s="12"/>
      <c r="P7" s="20" t="s">
        <v>157</v>
      </c>
      <c r="Q7" s="20" t="s">
        <v>158</v>
      </c>
      <c r="R7" s="13" t="s">
        <v>159</v>
      </c>
      <c r="S7" s="13" t="s">
        <v>138</v>
      </c>
      <c r="T7" s="13" t="s">
        <v>133</v>
      </c>
    </row>
    <row r="8" spans="1:20">
      <c r="A8" s="17">
        <v>7</v>
      </c>
      <c r="B8" s="12" t="s">
        <v>160</v>
      </c>
      <c r="C8" s="13" t="s">
        <v>161</v>
      </c>
      <c r="D8" s="13"/>
      <c r="E8" s="13"/>
      <c r="F8" s="13"/>
      <c r="G8" s="13"/>
      <c r="H8" s="13"/>
      <c r="I8" s="12" t="s">
        <v>62</v>
      </c>
      <c r="J8" s="13" t="s">
        <v>77</v>
      </c>
      <c r="K8" s="12"/>
      <c r="L8" s="12"/>
      <c r="M8" s="12"/>
      <c r="N8" s="12"/>
      <c r="O8" s="12"/>
      <c r="P8" s="20" t="s">
        <v>162</v>
      </c>
      <c r="Q8" s="20" t="s">
        <v>163</v>
      </c>
      <c r="R8" s="13" t="s">
        <v>164</v>
      </c>
      <c r="S8" s="13" t="s">
        <v>138</v>
      </c>
      <c r="T8" s="13" t="s">
        <v>133</v>
      </c>
    </row>
    <row r="9" spans="1:20">
      <c r="A9" s="17">
        <v>8</v>
      </c>
      <c r="B9" s="12" t="s">
        <v>165</v>
      </c>
      <c r="C9" s="13" t="s">
        <v>166</v>
      </c>
      <c r="D9" s="13"/>
      <c r="E9" s="13"/>
      <c r="F9" s="13"/>
      <c r="G9" s="13"/>
      <c r="H9" s="13"/>
      <c r="I9" s="12" t="s">
        <v>62</v>
      </c>
      <c r="J9" s="13" t="s">
        <v>82</v>
      </c>
      <c r="K9" s="13" t="s">
        <v>124</v>
      </c>
      <c r="L9" s="12"/>
      <c r="M9" s="12"/>
      <c r="N9" s="12"/>
      <c r="O9" s="12"/>
      <c r="P9" s="17" t="s">
        <v>167</v>
      </c>
      <c r="Q9" s="17" t="s">
        <v>168</v>
      </c>
      <c r="R9" s="13" t="s">
        <v>137</v>
      </c>
      <c r="S9" s="13" t="s">
        <v>138</v>
      </c>
      <c r="T9" s="12"/>
    </row>
    <row r="10" spans="1:20">
      <c r="A10" s="11">
        <v>9</v>
      </c>
      <c r="B10" s="12" t="s">
        <v>169</v>
      </c>
      <c r="C10" s="13" t="s">
        <v>170</v>
      </c>
      <c r="D10" s="13"/>
      <c r="E10" s="13"/>
      <c r="F10" s="13"/>
      <c r="G10" s="13"/>
      <c r="H10" s="13"/>
      <c r="I10" s="12" t="s">
        <v>62</v>
      </c>
      <c r="J10" s="13" t="s">
        <v>171</v>
      </c>
      <c r="K10" s="13" t="s">
        <v>124</v>
      </c>
      <c r="L10" s="12"/>
      <c r="M10" s="12"/>
      <c r="N10" s="12"/>
      <c r="O10" s="12"/>
      <c r="P10" s="20" t="s">
        <v>172</v>
      </c>
      <c r="Q10" s="20" t="s">
        <v>173</v>
      </c>
      <c r="R10" s="38" t="s">
        <v>174</v>
      </c>
      <c r="S10" s="39"/>
      <c r="T10" s="13" t="s">
        <v>133</v>
      </c>
    </row>
    <row r="11" spans="1:20">
      <c r="A11" s="17">
        <v>10</v>
      </c>
      <c r="B11" s="12" t="s">
        <v>175</v>
      </c>
      <c r="C11" s="13" t="s">
        <v>176</v>
      </c>
      <c r="D11" s="13"/>
      <c r="E11" s="13"/>
      <c r="F11" s="13"/>
      <c r="G11" s="13"/>
      <c r="H11" s="13"/>
      <c r="I11" s="12" t="s">
        <v>62</v>
      </c>
      <c r="J11" s="13" t="s">
        <v>171</v>
      </c>
      <c r="K11" s="12"/>
      <c r="L11" s="12"/>
      <c r="M11" s="12"/>
      <c r="N11" s="12"/>
      <c r="O11" s="12"/>
      <c r="P11" s="17" t="s">
        <v>177</v>
      </c>
      <c r="Q11" s="17" t="s">
        <v>178</v>
      </c>
      <c r="R11" s="38" t="s">
        <v>179</v>
      </c>
      <c r="S11" s="39"/>
      <c r="T11" s="12"/>
    </row>
    <row r="12" spans="1:20">
      <c r="A12" s="11">
        <v>11</v>
      </c>
      <c r="B12" s="12" t="s">
        <v>180</v>
      </c>
      <c r="C12" s="13" t="s">
        <v>181</v>
      </c>
      <c r="D12" s="13"/>
      <c r="E12" s="13"/>
      <c r="F12" s="13"/>
      <c r="G12" s="13"/>
      <c r="H12" s="13"/>
      <c r="I12" s="12" t="s">
        <v>62</v>
      </c>
      <c r="J12" s="13" t="s">
        <v>79</v>
      </c>
      <c r="K12" s="12"/>
      <c r="L12" s="12"/>
      <c r="M12" s="12"/>
      <c r="N12" s="12"/>
      <c r="O12" s="12"/>
      <c r="P12" s="19"/>
      <c r="Q12" s="19"/>
      <c r="R12" s="13" t="s">
        <v>142</v>
      </c>
      <c r="S12" s="13" t="s">
        <v>138</v>
      </c>
      <c r="T12" s="12"/>
    </row>
    <row r="13" spans="1:20">
      <c r="A13" s="17">
        <v>12</v>
      </c>
      <c r="B13" s="12" t="s">
        <v>182</v>
      </c>
      <c r="C13" s="13" t="s">
        <v>183</v>
      </c>
      <c r="D13" s="13"/>
      <c r="E13" s="13"/>
      <c r="F13" s="13"/>
      <c r="G13" s="13"/>
      <c r="H13" s="13"/>
      <c r="I13" s="12" t="s">
        <v>62</v>
      </c>
      <c r="J13" s="13" t="s">
        <v>82</v>
      </c>
      <c r="K13" s="12"/>
      <c r="L13" s="12"/>
      <c r="M13" s="12"/>
      <c r="N13" s="12"/>
      <c r="O13" s="12"/>
      <c r="P13" s="17" t="s">
        <v>167</v>
      </c>
      <c r="Q13" s="17" t="s">
        <v>151</v>
      </c>
      <c r="R13" s="13" t="s">
        <v>137</v>
      </c>
      <c r="S13" s="13" t="s">
        <v>138</v>
      </c>
      <c r="T13" s="12"/>
    </row>
    <row r="14" spans="1:20">
      <c r="A14" s="17">
        <v>13</v>
      </c>
      <c r="B14" s="12" t="s">
        <v>184</v>
      </c>
      <c r="C14" s="13" t="s">
        <v>185</v>
      </c>
      <c r="D14" s="13"/>
      <c r="E14" s="13"/>
      <c r="F14" s="13"/>
      <c r="G14" s="13"/>
      <c r="H14" s="13"/>
      <c r="I14" s="12" t="s">
        <v>62</v>
      </c>
      <c r="J14" s="13" t="s">
        <v>82</v>
      </c>
      <c r="K14" s="12"/>
      <c r="L14" s="12"/>
      <c r="M14" s="12"/>
      <c r="N14" s="12"/>
      <c r="O14" s="12"/>
      <c r="P14" s="19"/>
      <c r="Q14" s="19"/>
      <c r="R14" s="13" t="s">
        <v>137</v>
      </c>
      <c r="S14" s="13" t="s">
        <v>138</v>
      </c>
      <c r="T14" s="12"/>
    </row>
    <row r="15" spans="1:20">
      <c r="A15" s="11">
        <v>14</v>
      </c>
      <c r="B15" s="12" t="s">
        <v>186</v>
      </c>
      <c r="C15" s="13" t="s">
        <v>88</v>
      </c>
      <c r="D15" s="13"/>
      <c r="E15" s="13"/>
      <c r="F15" s="13"/>
      <c r="G15" s="13"/>
      <c r="H15" s="13"/>
      <c r="I15" s="12" t="s">
        <v>62</v>
      </c>
      <c r="J15" s="13" t="s">
        <v>81</v>
      </c>
      <c r="K15" s="12"/>
      <c r="L15" s="12"/>
      <c r="M15" s="12"/>
      <c r="N15" s="12"/>
      <c r="O15" s="12"/>
      <c r="P15" s="17" t="s">
        <v>157</v>
      </c>
      <c r="Q15" s="17" t="s">
        <v>187</v>
      </c>
      <c r="R15" s="13" t="s">
        <v>137</v>
      </c>
      <c r="S15" s="13" t="s">
        <v>138</v>
      </c>
      <c r="T15" s="12"/>
    </row>
    <row r="16" spans="1:20">
      <c r="A16" s="17">
        <v>15</v>
      </c>
      <c r="B16" s="12" t="s">
        <v>188</v>
      </c>
      <c r="C16" s="13" t="s">
        <v>77</v>
      </c>
      <c r="D16" s="13"/>
      <c r="E16" s="13"/>
      <c r="F16" s="13"/>
      <c r="G16" s="13"/>
      <c r="H16" s="13"/>
      <c r="I16" s="12" t="s">
        <v>62</v>
      </c>
      <c r="J16" s="13" t="s">
        <v>81</v>
      </c>
      <c r="K16" s="12"/>
      <c r="L16" s="12"/>
      <c r="M16" s="12"/>
      <c r="N16" s="12"/>
      <c r="O16" s="12"/>
      <c r="P16" s="20" t="s">
        <v>177</v>
      </c>
      <c r="Q16" s="17" t="s">
        <v>189</v>
      </c>
      <c r="R16" s="13" t="s">
        <v>137</v>
      </c>
      <c r="S16" s="13" t="s">
        <v>138</v>
      </c>
      <c r="T16" s="12"/>
    </row>
    <row r="17" spans="1:23">
      <c r="A17" s="11">
        <v>16</v>
      </c>
      <c r="B17" s="12" t="s">
        <v>190</v>
      </c>
      <c r="C17" s="13" t="s">
        <v>191</v>
      </c>
      <c r="D17" s="13"/>
      <c r="E17" s="13"/>
      <c r="F17" s="13"/>
      <c r="G17" s="13"/>
      <c r="H17" s="13"/>
      <c r="I17" s="12" t="s">
        <v>62</v>
      </c>
      <c r="J17" s="23" t="s">
        <v>82</v>
      </c>
      <c r="K17" s="12"/>
      <c r="L17" s="12"/>
      <c r="M17" s="12"/>
      <c r="N17" s="12"/>
      <c r="O17" s="12"/>
      <c r="P17" s="17" t="s">
        <v>192</v>
      </c>
      <c r="Q17" s="17" t="s">
        <v>192</v>
      </c>
      <c r="R17" s="23" t="s">
        <v>193</v>
      </c>
      <c r="S17" s="25"/>
      <c r="T17" s="12"/>
      <c r="V17" s="22" t="s">
        <v>194</v>
      </c>
      <c r="W17" s="22" t="s">
        <v>195</v>
      </c>
    </row>
    <row r="18" spans="1:23">
      <c r="A18" s="17">
        <v>17</v>
      </c>
      <c r="B18" s="12" t="s">
        <v>196</v>
      </c>
      <c r="C18" s="13" t="s">
        <v>197</v>
      </c>
      <c r="D18" s="13"/>
      <c r="E18" s="13"/>
      <c r="F18" s="13"/>
      <c r="G18" s="13"/>
      <c r="H18" s="13"/>
      <c r="I18" s="12" t="s">
        <v>62</v>
      </c>
      <c r="J18" s="23" t="s">
        <v>171</v>
      </c>
      <c r="K18" s="12"/>
      <c r="L18" s="12"/>
      <c r="M18" s="12"/>
      <c r="N18" s="12"/>
      <c r="O18" s="12"/>
      <c r="P18" s="17" t="s">
        <v>136</v>
      </c>
      <c r="Q18" s="17" t="s">
        <v>198</v>
      </c>
      <c r="R18" s="13" t="s">
        <v>199</v>
      </c>
      <c r="S18" s="25"/>
      <c r="T18" s="12"/>
      <c r="V18" s="22"/>
      <c r="W18" s="22" t="s">
        <v>200</v>
      </c>
    </row>
    <row r="19" spans="1:23">
      <c r="A19" s="17">
        <v>18</v>
      </c>
      <c r="B19" s="13" t="s">
        <v>201</v>
      </c>
      <c r="C19" s="13" t="s">
        <v>202</v>
      </c>
      <c r="D19" s="13"/>
      <c r="E19" s="13"/>
      <c r="F19" s="13"/>
      <c r="G19" s="13"/>
      <c r="H19" s="13"/>
      <c r="I19" s="12" t="s">
        <v>62</v>
      </c>
      <c r="J19" s="23" t="s">
        <v>79</v>
      </c>
      <c r="K19" s="12"/>
      <c r="L19" s="12"/>
      <c r="M19" s="12"/>
      <c r="N19" s="12"/>
      <c r="O19" s="12"/>
      <c r="P19" s="17" t="s">
        <v>189</v>
      </c>
      <c r="Q19" s="17" t="s">
        <v>189</v>
      </c>
      <c r="R19" s="13" t="s">
        <v>199</v>
      </c>
      <c r="S19" s="13" t="s">
        <v>138</v>
      </c>
      <c r="T19" s="12"/>
      <c r="V19" s="22" t="s">
        <v>203</v>
      </c>
      <c r="W19" s="22" t="s">
        <v>204</v>
      </c>
    </row>
    <row r="20" spans="1:23">
      <c r="A20" s="11">
        <v>19</v>
      </c>
      <c r="B20" s="12" t="s">
        <v>205</v>
      </c>
      <c r="C20" s="13" t="s">
        <v>206</v>
      </c>
      <c r="D20" s="13"/>
      <c r="E20" s="13"/>
      <c r="F20" s="13"/>
      <c r="G20" s="13"/>
      <c r="H20" s="13"/>
      <c r="I20" s="12" t="s">
        <v>62</v>
      </c>
      <c r="J20" s="13" t="s">
        <v>79</v>
      </c>
      <c r="K20" s="13" t="s">
        <v>124</v>
      </c>
      <c r="L20" s="12"/>
      <c r="M20" s="12"/>
      <c r="N20" s="12"/>
      <c r="O20" s="12"/>
      <c r="P20" s="20" t="s">
        <v>150</v>
      </c>
      <c r="Q20" s="20" t="s">
        <v>207</v>
      </c>
      <c r="R20" s="13" t="s">
        <v>142</v>
      </c>
      <c r="S20" s="13" t="s">
        <v>138</v>
      </c>
      <c r="T20" s="13" t="s">
        <v>133</v>
      </c>
      <c r="V20" s="22"/>
      <c r="W20" s="22" t="s">
        <v>208</v>
      </c>
    </row>
    <row r="21" spans="1:23">
      <c r="A21" s="17">
        <v>20</v>
      </c>
      <c r="B21" s="12" t="s">
        <v>209</v>
      </c>
      <c r="C21" s="13" t="s">
        <v>210</v>
      </c>
      <c r="D21" s="13"/>
      <c r="E21" s="13"/>
      <c r="F21" s="13"/>
      <c r="G21" s="13"/>
      <c r="H21" s="13"/>
      <c r="I21" s="12" t="s">
        <v>62</v>
      </c>
      <c r="J21" s="13" t="s">
        <v>79</v>
      </c>
      <c r="K21" s="13" t="s">
        <v>124</v>
      </c>
      <c r="L21" s="12"/>
      <c r="M21" s="12"/>
      <c r="N21" s="12"/>
      <c r="O21" s="12"/>
      <c r="P21" s="20" t="s">
        <v>211</v>
      </c>
      <c r="Q21" s="20" t="s">
        <v>212</v>
      </c>
      <c r="R21" s="13" t="s">
        <v>213</v>
      </c>
      <c r="S21" s="25"/>
      <c r="T21" s="12"/>
      <c r="W21" s="22" t="s">
        <v>214</v>
      </c>
    </row>
    <row r="22" spans="1:23">
      <c r="A22" s="11">
        <v>21</v>
      </c>
      <c r="B22" s="12" t="s">
        <v>215</v>
      </c>
      <c r="C22" s="13" t="s">
        <v>216</v>
      </c>
      <c r="D22" s="13"/>
      <c r="E22" s="13"/>
      <c r="F22" s="13"/>
      <c r="G22" s="13"/>
      <c r="H22" s="13"/>
      <c r="I22" s="12" t="s">
        <v>62</v>
      </c>
      <c r="J22" s="38" t="s">
        <v>171</v>
      </c>
      <c r="K22" s="13" t="s">
        <v>124</v>
      </c>
      <c r="L22" s="12"/>
      <c r="M22" s="12"/>
      <c r="N22" s="12"/>
      <c r="O22" s="12"/>
      <c r="P22" s="17" t="s">
        <v>150</v>
      </c>
      <c r="Q22" s="17" t="s">
        <v>217</v>
      </c>
      <c r="R22" s="13" t="s">
        <v>218</v>
      </c>
      <c r="S22" s="13" t="s">
        <v>138</v>
      </c>
      <c r="T22" s="12"/>
      <c r="W22" s="22" t="s">
        <v>219</v>
      </c>
    </row>
    <row r="23" spans="1:23">
      <c r="A23" s="17">
        <v>22</v>
      </c>
      <c r="B23" s="12" t="s">
        <v>220</v>
      </c>
      <c r="C23" s="13" t="s">
        <v>221</v>
      </c>
      <c r="D23" s="13"/>
      <c r="E23" s="13"/>
      <c r="F23" s="13"/>
      <c r="G23" s="13"/>
      <c r="H23" s="13"/>
      <c r="I23" s="12" t="s">
        <v>62</v>
      </c>
      <c r="J23" s="13" t="s">
        <v>81</v>
      </c>
      <c r="K23" s="12"/>
      <c r="L23" s="12"/>
      <c r="M23" s="12"/>
      <c r="N23" s="12"/>
      <c r="O23" s="12"/>
      <c r="P23" s="19"/>
      <c r="Q23" s="19"/>
      <c r="R23" s="13" t="s">
        <v>137</v>
      </c>
      <c r="S23" s="13" t="s">
        <v>138</v>
      </c>
      <c r="T23" s="12"/>
      <c r="V23" s="22"/>
      <c r="W23" s="22" t="s">
        <v>222</v>
      </c>
    </row>
    <row r="24" spans="1:23">
      <c r="A24" s="17">
        <v>23</v>
      </c>
      <c r="B24" s="12" t="s">
        <v>223</v>
      </c>
      <c r="C24" s="13" t="s">
        <v>224</v>
      </c>
      <c r="D24" s="13"/>
      <c r="E24" s="13"/>
      <c r="F24" s="13"/>
      <c r="G24" s="13"/>
      <c r="H24" s="13"/>
      <c r="I24" s="12" t="s">
        <v>62</v>
      </c>
      <c r="J24" s="38" t="s">
        <v>81</v>
      </c>
      <c r="K24" s="12"/>
      <c r="L24" s="12"/>
      <c r="M24" s="12"/>
      <c r="N24" s="12"/>
      <c r="O24" s="12"/>
      <c r="P24" s="19"/>
      <c r="Q24" s="19"/>
      <c r="R24" s="12" t="s">
        <v>137</v>
      </c>
      <c r="S24" s="12" t="s">
        <v>138</v>
      </c>
      <c r="T24" s="12"/>
      <c r="V24" s="22" t="s">
        <v>225</v>
      </c>
      <c r="W24" s="22" t="s">
        <v>226</v>
      </c>
    </row>
    <row r="25" spans="1:23">
      <c r="A25" s="11">
        <v>24</v>
      </c>
      <c r="B25" s="12" t="s">
        <v>227</v>
      </c>
      <c r="C25" s="13" t="s">
        <v>228</v>
      </c>
      <c r="D25" s="13"/>
      <c r="E25" s="13"/>
      <c r="F25" s="13"/>
      <c r="G25" s="13"/>
      <c r="H25" s="13"/>
      <c r="I25" s="12" t="s">
        <v>62</v>
      </c>
      <c r="J25" s="13" t="s">
        <v>79</v>
      </c>
      <c r="K25" s="12"/>
      <c r="L25" s="12"/>
      <c r="M25" s="12"/>
      <c r="N25" s="12"/>
      <c r="O25" s="12"/>
      <c r="P25" s="20" t="s">
        <v>150</v>
      </c>
      <c r="Q25" s="20" t="s">
        <v>229</v>
      </c>
      <c r="R25" s="13" t="s">
        <v>142</v>
      </c>
      <c r="S25" s="13" t="s">
        <v>138</v>
      </c>
      <c r="T25" s="12"/>
      <c r="V25" s="22" t="s">
        <v>230</v>
      </c>
      <c r="W25" s="22" t="s">
        <v>231</v>
      </c>
    </row>
    <row r="26" spans="1:23">
      <c r="A26" s="17">
        <v>25</v>
      </c>
      <c r="B26" s="12" t="s">
        <v>232</v>
      </c>
      <c r="C26" s="13" t="s">
        <v>233</v>
      </c>
      <c r="D26" s="13"/>
      <c r="E26" s="13"/>
      <c r="F26" s="13"/>
      <c r="G26" s="13"/>
      <c r="H26" s="13"/>
      <c r="I26" s="12" t="s">
        <v>62</v>
      </c>
      <c r="J26" s="13" t="s">
        <v>171</v>
      </c>
      <c r="K26" s="13" t="s">
        <v>124</v>
      </c>
      <c r="L26" s="12"/>
      <c r="M26" s="12"/>
      <c r="N26" s="12"/>
      <c r="O26" s="12"/>
      <c r="P26" s="17" t="s">
        <v>189</v>
      </c>
      <c r="Q26" s="17" t="s">
        <v>234</v>
      </c>
      <c r="R26" s="25" t="s">
        <v>235</v>
      </c>
      <c r="S26" s="25"/>
      <c r="T26" s="12"/>
      <c r="W26" s="22" t="s">
        <v>236</v>
      </c>
    </row>
    <row r="27" spans="1:23">
      <c r="A27" s="11">
        <v>26</v>
      </c>
      <c r="B27" s="13" t="s">
        <v>237</v>
      </c>
      <c r="C27" s="13" t="s">
        <v>238</v>
      </c>
      <c r="D27" s="13"/>
      <c r="E27" s="13"/>
      <c r="F27" s="13"/>
      <c r="G27" s="13"/>
      <c r="H27" s="13"/>
      <c r="I27" s="12" t="s">
        <v>62</v>
      </c>
      <c r="J27" s="38" t="s">
        <v>171</v>
      </c>
      <c r="K27" s="13" t="s">
        <v>124</v>
      </c>
      <c r="L27" s="12"/>
      <c r="M27" s="12"/>
      <c r="N27" s="12"/>
      <c r="O27" s="12"/>
      <c r="P27" s="17" t="s">
        <v>189</v>
      </c>
      <c r="Q27" s="17" t="s">
        <v>239</v>
      </c>
      <c r="R27" s="25" t="s">
        <v>235</v>
      </c>
      <c r="S27" s="25"/>
      <c r="T27" s="13" t="s">
        <v>133</v>
      </c>
    </row>
    <row r="28" spans="1:23">
      <c r="A28" s="17">
        <v>27</v>
      </c>
      <c r="B28" s="12" t="s">
        <v>240</v>
      </c>
      <c r="C28" s="13" t="s">
        <v>241</v>
      </c>
      <c r="D28" s="13"/>
      <c r="E28" s="13"/>
      <c r="F28" s="13"/>
      <c r="G28" s="13"/>
      <c r="H28" s="13"/>
      <c r="I28" s="12" t="s">
        <v>62</v>
      </c>
      <c r="J28" s="38" t="s">
        <v>77</v>
      </c>
      <c r="K28" s="12"/>
      <c r="L28" s="12"/>
      <c r="M28" s="12"/>
      <c r="N28" s="12"/>
      <c r="O28" s="12"/>
      <c r="P28" s="20" t="s">
        <v>242</v>
      </c>
      <c r="Q28" s="20" t="s">
        <v>243</v>
      </c>
      <c r="R28" s="13" t="s">
        <v>213</v>
      </c>
      <c r="S28" s="25"/>
      <c r="T28" s="12"/>
    </row>
    <row r="29" spans="1:23">
      <c r="A29" s="17">
        <v>28</v>
      </c>
      <c r="B29" s="12" t="s">
        <v>244</v>
      </c>
      <c r="C29" s="12" t="s">
        <v>245</v>
      </c>
      <c r="D29" s="12"/>
      <c r="E29" s="12"/>
      <c r="F29" s="12"/>
      <c r="G29" s="12"/>
      <c r="H29" s="12"/>
      <c r="I29" s="12" t="s">
        <v>62</v>
      </c>
      <c r="J29" s="13" t="s">
        <v>77</v>
      </c>
      <c r="K29" s="12"/>
      <c r="L29" s="12"/>
      <c r="M29" s="12"/>
      <c r="N29" s="12"/>
      <c r="O29" s="12"/>
      <c r="P29" s="19"/>
      <c r="Q29" s="19"/>
      <c r="R29" s="13" t="s">
        <v>213</v>
      </c>
      <c r="S29" s="13" t="s">
        <v>138</v>
      </c>
      <c r="T29" s="12"/>
    </row>
    <row r="30" spans="1:23">
      <c r="A30" s="11">
        <v>29</v>
      </c>
      <c r="B30" s="12" t="s">
        <v>246</v>
      </c>
      <c r="C30" s="13" t="s">
        <v>247</v>
      </c>
      <c r="D30" s="13"/>
      <c r="E30" s="13"/>
      <c r="F30" s="13"/>
      <c r="G30" s="13"/>
      <c r="H30" s="13"/>
      <c r="I30" s="12" t="s">
        <v>64</v>
      </c>
      <c r="J30" s="13" t="s">
        <v>82</v>
      </c>
      <c r="K30" s="12"/>
      <c r="L30" s="12"/>
      <c r="M30" s="12"/>
      <c r="N30" s="12"/>
      <c r="O30" s="12"/>
      <c r="P30" s="17" t="s">
        <v>150</v>
      </c>
      <c r="Q30" s="17" t="s">
        <v>150</v>
      </c>
      <c r="R30" s="25" t="s">
        <v>235</v>
      </c>
      <c r="S30" s="25"/>
      <c r="T30" s="12"/>
    </row>
    <row r="31" spans="1:23">
      <c r="A31" s="17">
        <v>30</v>
      </c>
      <c r="B31" s="12" t="s">
        <v>248</v>
      </c>
      <c r="C31" s="13" t="s">
        <v>249</v>
      </c>
      <c r="D31" s="13"/>
      <c r="E31" s="13"/>
      <c r="F31" s="13"/>
      <c r="G31" s="13"/>
      <c r="H31" s="13"/>
      <c r="I31" s="12" t="s">
        <v>64</v>
      </c>
      <c r="J31" s="13" t="s">
        <v>81</v>
      </c>
      <c r="K31" s="12"/>
      <c r="L31" s="12"/>
      <c r="M31" s="12"/>
      <c r="N31" s="12"/>
      <c r="O31" s="12"/>
      <c r="P31" s="19"/>
      <c r="Q31" s="19"/>
      <c r="R31" s="13" t="s">
        <v>137</v>
      </c>
      <c r="S31" s="13" t="s">
        <v>138</v>
      </c>
      <c r="T31" s="12"/>
    </row>
    <row r="32" spans="1:23">
      <c r="A32" s="11">
        <v>31</v>
      </c>
      <c r="B32" s="12" t="s">
        <v>250</v>
      </c>
      <c r="C32" s="13" t="s">
        <v>251</v>
      </c>
      <c r="D32" s="13"/>
      <c r="E32" s="13"/>
      <c r="F32" s="13"/>
      <c r="G32" s="13"/>
      <c r="H32" s="13"/>
      <c r="I32" s="12" t="s">
        <v>64</v>
      </c>
      <c r="J32" s="13" t="s">
        <v>77</v>
      </c>
      <c r="K32" s="12"/>
      <c r="L32" s="12"/>
      <c r="M32" s="12"/>
      <c r="N32" s="12"/>
      <c r="O32" s="12"/>
      <c r="P32" s="19"/>
      <c r="Q32" s="19"/>
      <c r="R32" s="13" t="s">
        <v>252</v>
      </c>
      <c r="S32" s="13" t="s">
        <v>138</v>
      </c>
      <c r="T32" s="12"/>
    </row>
    <row r="33" spans="1:20">
      <c r="A33" s="17">
        <v>32</v>
      </c>
      <c r="B33" s="13" t="s">
        <v>253</v>
      </c>
      <c r="C33" s="13" t="s">
        <v>254</v>
      </c>
      <c r="D33" s="13"/>
      <c r="E33" s="13"/>
      <c r="F33" s="13"/>
      <c r="G33" s="13"/>
      <c r="H33" s="13"/>
      <c r="I33" s="12" t="s">
        <v>66</v>
      </c>
      <c r="J33" s="13" t="s">
        <v>79</v>
      </c>
      <c r="K33" s="12"/>
      <c r="L33" s="12"/>
      <c r="M33" s="12"/>
      <c r="N33" s="12"/>
      <c r="O33" s="12"/>
      <c r="P33" s="20" t="s">
        <v>255</v>
      </c>
      <c r="Q33" s="12"/>
      <c r="R33" s="13" t="s">
        <v>142</v>
      </c>
      <c r="S33" s="13" t="s">
        <v>138</v>
      </c>
      <c r="T33" s="12"/>
    </row>
    <row r="34" spans="1:20">
      <c r="A34" s="17">
        <v>33</v>
      </c>
      <c r="B34" s="12" t="s">
        <v>256</v>
      </c>
      <c r="C34" s="13" t="s">
        <v>257</v>
      </c>
      <c r="D34" s="13"/>
      <c r="E34" s="13"/>
      <c r="F34" s="13"/>
      <c r="G34" s="13"/>
      <c r="H34" s="13"/>
      <c r="I34" s="12" t="s">
        <v>66</v>
      </c>
      <c r="J34" s="13" t="s">
        <v>79</v>
      </c>
      <c r="K34" s="12"/>
      <c r="L34" s="12"/>
      <c r="M34" s="12"/>
      <c r="N34" s="12"/>
      <c r="O34" s="12"/>
      <c r="P34" s="19"/>
      <c r="Q34" s="19"/>
      <c r="R34" s="13" t="s">
        <v>142</v>
      </c>
      <c r="S34" s="13" t="s">
        <v>138</v>
      </c>
      <c r="T34" s="12"/>
    </row>
    <row r="35" spans="1:20">
      <c r="A35" s="11">
        <v>34</v>
      </c>
      <c r="B35" s="12" t="s">
        <v>258</v>
      </c>
      <c r="C35" s="13" t="s">
        <v>259</v>
      </c>
      <c r="D35" s="13"/>
      <c r="E35" s="13"/>
      <c r="F35" s="13"/>
      <c r="G35" s="13"/>
      <c r="H35" s="13"/>
      <c r="I35" s="12" t="s">
        <v>66</v>
      </c>
      <c r="J35" s="13" t="s">
        <v>81</v>
      </c>
      <c r="K35" s="12"/>
      <c r="L35" s="12"/>
      <c r="M35" s="12"/>
      <c r="N35" s="12"/>
      <c r="O35" s="12"/>
      <c r="P35" s="17" t="s">
        <v>260</v>
      </c>
      <c r="Q35" s="12"/>
      <c r="R35" s="13" t="s">
        <v>137</v>
      </c>
      <c r="S35" s="25"/>
      <c r="T35" s="12"/>
    </row>
    <row r="36" spans="1:20">
      <c r="A36" s="17">
        <v>35</v>
      </c>
      <c r="B36" s="12" t="s">
        <v>261</v>
      </c>
      <c r="C36" s="13" t="s">
        <v>262</v>
      </c>
      <c r="D36" s="13"/>
      <c r="E36" s="13"/>
      <c r="F36" s="13"/>
      <c r="G36" s="13"/>
      <c r="H36" s="13"/>
      <c r="I36" s="12" t="s">
        <v>66</v>
      </c>
      <c r="J36" s="13" t="s">
        <v>82</v>
      </c>
      <c r="K36" s="12"/>
      <c r="L36" s="12"/>
      <c r="M36" s="12"/>
      <c r="N36" s="12"/>
      <c r="O36" s="12"/>
      <c r="P36" s="17" t="s">
        <v>211</v>
      </c>
      <c r="Q36" s="12"/>
      <c r="R36" s="13" t="s">
        <v>179</v>
      </c>
      <c r="S36" s="13" t="s">
        <v>138</v>
      </c>
      <c r="T36" s="12"/>
    </row>
    <row r="37" spans="1:20">
      <c r="A37" s="11">
        <v>36</v>
      </c>
      <c r="B37" s="12" t="s">
        <v>263</v>
      </c>
      <c r="C37" s="13" t="s">
        <v>263</v>
      </c>
      <c r="D37" s="13"/>
      <c r="E37" s="13"/>
      <c r="F37" s="13"/>
      <c r="G37" s="13"/>
      <c r="H37" s="13"/>
      <c r="I37" s="12" t="s">
        <v>68</v>
      </c>
      <c r="J37" s="13" t="s">
        <v>171</v>
      </c>
      <c r="K37" s="12"/>
      <c r="L37" s="12"/>
      <c r="M37" s="12"/>
      <c r="N37" s="12"/>
      <c r="O37" s="12"/>
      <c r="P37" s="19"/>
      <c r="Q37" s="19"/>
      <c r="R37" s="13" t="s">
        <v>203</v>
      </c>
      <c r="S37" s="25"/>
      <c r="T37" s="12"/>
    </row>
    <row r="38" spans="1:20">
      <c r="A38" s="17">
        <v>37</v>
      </c>
      <c r="B38" s="12" t="s">
        <v>214</v>
      </c>
      <c r="C38" s="13" t="s">
        <v>264</v>
      </c>
      <c r="D38" s="13"/>
      <c r="E38" s="13"/>
      <c r="F38" s="13"/>
      <c r="G38" s="13"/>
      <c r="H38" s="13"/>
      <c r="I38" s="12" t="s">
        <v>68</v>
      </c>
      <c r="J38" s="13" t="s">
        <v>77</v>
      </c>
      <c r="K38" s="12"/>
      <c r="L38" s="12"/>
      <c r="M38" s="12"/>
      <c r="N38" s="12"/>
      <c r="O38" s="12"/>
      <c r="P38" s="20" t="s">
        <v>265</v>
      </c>
      <c r="Q38" s="20" t="s">
        <v>266</v>
      </c>
      <c r="R38" s="13" t="s">
        <v>213</v>
      </c>
      <c r="S38" s="25"/>
      <c r="T38" s="12"/>
    </row>
    <row r="39" spans="1:20">
      <c r="A39" s="17">
        <v>38</v>
      </c>
      <c r="B39" s="12" t="s">
        <v>267</v>
      </c>
      <c r="C39" s="13" t="s">
        <v>268</v>
      </c>
      <c r="D39" s="13"/>
      <c r="E39" s="13"/>
      <c r="F39" s="13"/>
      <c r="G39" s="13"/>
      <c r="H39" s="13"/>
      <c r="I39" s="12" t="s">
        <v>68</v>
      </c>
      <c r="J39" s="13" t="s">
        <v>171</v>
      </c>
      <c r="K39" s="12"/>
      <c r="L39" s="12"/>
      <c r="M39" s="12"/>
      <c r="N39" s="12"/>
      <c r="O39" s="12"/>
      <c r="P39" s="17" t="s">
        <v>269</v>
      </c>
      <c r="Q39" s="17" t="s">
        <v>270</v>
      </c>
      <c r="R39" s="25" t="s">
        <v>235</v>
      </c>
      <c r="S39" s="25"/>
      <c r="T39" s="12"/>
    </row>
    <row r="40" spans="1:20">
      <c r="A40" s="11">
        <v>39</v>
      </c>
      <c r="B40" s="12" t="s">
        <v>271</v>
      </c>
      <c r="C40" s="13" t="s">
        <v>272</v>
      </c>
      <c r="D40" s="13"/>
      <c r="E40" s="13"/>
      <c r="F40" s="13"/>
      <c r="G40" s="13"/>
      <c r="H40" s="13"/>
      <c r="I40" s="12" t="s">
        <v>68</v>
      </c>
      <c r="J40" s="13" t="s">
        <v>82</v>
      </c>
      <c r="K40" s="12"/>
      <c r="L40" s="12"/>
      <c r="M40" s="12"/>
      <c r="N40" s="12"/>
      <c r="O40" s="12"/>
      <c r="P40" s="17" t="s">
        <v>167</v>
      </c>
      <c r="Q40" s="17" t="s">
        <v>177</v>
      </c>
      <c r="R40" s="25" t="s">
        <v>235</v>
      </c>
      <c r="S40" s="25"/>
      <c r="T40" s="12"/>
    </row>
    <row r="41" spans="1:20">
      <c r="A41" s="17">
        <v>40</v>
      </c>
      <c r="B41" s="12" t="s">
        <v>273</v>
      </c>
      <c r="C41" s="13" t="s">
        <v>273</v>
      </c>
      <c r="D41" s="13"/>
      <c r="E41" s="13"/>
      <c r="F41" s="13"/>
      <c r="G41" s="13"/>
      <c r="H41" s="13"/>
      <c r="I41" s="12" t="s">
        <v>68</v>
      </c>
      <c r="J41" s="13" t="s">
        <v>77</v>
      </c>
      <c r="K41" s="12"/>
      <c r="L41" s="12"/>
      <c r="M41" s="12"/>
      <c r="N41" s="12"/>
      <c r="O41" s="12"/>
      <c r="P41" s="20" t="s">
        <v>189</v>
      </c>
      <c r="Q41" s="20" t="s">
        <v>189</v>
      </c>
      <c r="R41" s="13" t="s">
        <v>213</v>
      </c>
      <c r="S41" s="25"/>
      <c r="T41" s="12"/>
    </row>
    <row r="42" spans="1:20">
      <c r="A42" s="11">
        <v>41</v>
      </c>
      <c r="B42" s="12" t="s">
        <v>222</v>
      </c>
      <c r="C42" s="13" t="s">
        <v>274</v>
      </c>
      <c r="D42" s="13"/>
      <c r="E42" s="13"/>
      <c r="F42" s="13"/>
      <c r="G42" s="13"/>
      <c r="H42" s="13"/>
      <c r="I42" s="12" t="s">
        <v>68</v>
      </c>
      <c r="J42" s="23" t="s">
        <v>171</v>
      </c>
      <c r="K42" s="12"/>
      <c r="L42" s="12"/>
      <c r="M42" s="12"/>
      <c r="N42" s="12"/>
      <c r="O42" s="12"/>
      <c r="P42" s="19"/>
      <c r="Q42" s="19"/>
      <c r="R42" s="23" t="s">
        <v>142</v>
      </c>
      <c r="S42" s="25"/>
      <c r="T42" s="12"/>
    </row>
    <row r="43" spans="1:20">
      <c r="A43" s="17">
        <v>42</v>
      </c>
      <c r="B43" s="47" t="s">
        <v>275</v>
      </c>
      <c r="C43" s="48" t="s">
        <v>276</v>
      </c>
      <c r="D43" s="48"/>
      <c r="E43" s="48"/>
      <c r="F43" s="48"/>
      <c r="G43" s="48"/>
      <c r="H43" s="48"/>
      <c r="I43" s="47" t="s">
        <v>68</v>
      </c>
      <c r="J43" s="48" t="s">
        <v>171</v>
      </c>
      <c r="K43" s="47"/>
      <c r="L43" s="47"/>
      <c r="M43" s="47"/>
      <c r="N43" s="47"/>
      <c r="O43" s="47"/>
      <c r="P43" s="47"/>
      <c r="Q43" s="47"/>
      <c r="R43" s="48" t="s">
        <v>194</v>
      </c>
      <c r="S43" s="47"/>
      <c r="T43" s="47"/>
    </row>
    <row r="44" spans="1:20">
      <c r="A44" s="17">
        <v>43</v>
      </c>
      <c r="B44" s="49" t="s">
        <v>277</v>
      </c>
      <c r="C44" s="50" t="s">
        <v>236</v>
      </c>
      <c r="D44" s="50"/>
      <c r="E44" s="50"/>
      <c r="F44" s="50"/>
      <c r="G44" s="50"/>
      <c r="H44" s="50"/>
      <c r="I44" s="49" t="s">
        <v>68</v>
      </c>
      <c r="J44" s="23" t="s">
        <v>81</v>
      </c>
      <c r="K44" s="49"/>
      <c r="L44" s="49"/>
      <c r="M44" s="49"/>
      <c r="N44" s="49"/>
      <c r="O44" s="49"/>
      <c r="P44" s="19"/>
      <c r="Q44" s="19"/>
      <c r="R44" s="25" t="s">
        <v>179</v>
      </c>
      <c r="S44" s="25"/>
      <c r="T44" s="49"/>
    </row>
    <row r="45" spans="1:20">
      <c r="A45" s="11">
        <v>44</v>
      </c>
      <c r="B45" s="13" t="s">
        <v>278</v>
      </c>
      <c r="C45" s="13" t="s">
        <v>279</v>
      </c>
      <c r="D45" s="13"/>
      <c r="E45" s="13"/>
      <c r="F45" s="13"/>
      <c r="G45" s="13"/>
      <c r="H45" s="13"/>
      <c r="I45" s="12" t="s">
        <v>68</v>
      </c>
      <c r="J45" s="13" t="s">
        <v>79</v>
      </c>
      <c r="K45" s="12"/>
      <c r="L45" s="12"/>
      <c r="M45" s="12"/>
      <c r="N45" s="12"/>
      <c r="O45" s="12"/>
      <c r="P45" s="20" t="s">
        <v>157</v>
      </c>
      <c r="Q45" s="20" t="s">
        <v>158</v>
      </c>
      <c r="R45" s="13" t="s">
        <v>199</v>
      </c>
      <c r="S45" s="13" t="s">
        <v>138</v>
      </c>
      <c r="T45" s="12"/>
    </row>
    <row r="46" spans="1:20"/>
    <row r="47" spans="1:20"/>
    <row r="48" spans="1:20"/>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sheetData>
  <dataValidations count="7">
    <dataValidation type="list" allowBlank="1" showErrorMessage="1" sqref="T2:T979" xr:uid="{00000000-0002-0000-0200-000000000000}">
      <formula1>"Triangulada"</formula1>
    </dataValidation>
    <dataValidation type="list" allowBlank="1" showErrorMessage="1" sqref="L2:L979" xr:uid="{00000000-0002-0000-0200-000001000000}">
      <formula1>"Nacional,Departamental/Regional,LATAM,Local/municipal,Múltiples deptos o regiones"</formula1>
    </dataValidation>
    <dataValidation type="list" allowBlank="1" showErrorMessage="1" sqref="M2:M979" xr:uid="{00000000-0002-0000-0200-000002000000}">
      <formula1>"Poblacional,Temático,Territorial,Otro"</formula1>
    </dataValidation>
    <dataValidation type="list" allowBlank="1" showErrorMessage="1" sqref="K2:K979" xr:uid="{00000000-0002-0000-0200-000003000000}">
      <formula1>"Administrada,No administrada"</formula1>
    </dataValidation>
    <dataValidation type="list" allowBlank="1" showErrorMessage="1" sqref="J46:J979" xr:uid="{00000000-0002-0000-0200-000004000000}">
      <formula1>"ED,EM,IN,LE"</formula1>
    </dataValidation>
    <dataValidation type="list" allowBlank="1" showErrorMessage="1" sqref="I2:I979" xr:uid="{00000000-0002-0000-0200-000005000000}">
      <formula1>"Bolsa,Herramienta,Iniciativa,Membresía"</formula1>
    </dataValidation>
    <dataValidation type="list" allowBlank="1" showErrorMessage="1" sqref="J2:J45" xr:uid="{00000000-0002-0000-0200-000006000000}">
      <formula1>"ED,EM,IN,LE,Transv"</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48"/>
  <sheetViews>
    <sheetView workbookViewId="0"/>
  </sheetViews>
  <sheetFormatPr defaultColWidth="12.5703125" defaultRowHeight="15" customHeight="1"/>
  <cols>
    <col min="1" max="1" width="22.85546875" customWidth="1"/>
    <col min="2" max="2" width="24" customWidth="1"/>
    <col min="3" max="25" width="19.7109375" customWidth="1"/>
    <col min="26" max="29" width="8.85546875" customWidth="1"/>
  </cols>
  <sheetData>
    <row r="1" spans="1:25" ht="24" customHeight="1">
      <c r="A1" s="2"/>
      <c r="B1" s="180"/>
      <c r="C1" s="211"/>
      <c r="D1" s="211"/>
      <c r="E1" s="211"/>
      <c r="F1" s="211"/>
      <c r="G1" s="211"/>
      <c r="H1" s="211"/>
      <c r="I1" s="211"/>
      <c r="J1" s="211"/>
      <c r="K1" s="211"/>
      <c r="L1" s="211"/>
      <c r="M1" s="211"/>
      <c r="N1" s="211"/>
      <c r="O1" s="211"/>
      <c r="P1" s="211"/>
      <c r="Q1" s="211"/>
      <c r="R1" s="211"/>
      <c r="S1" s="211"/>
      <c r="T1" s="211"/>
      <c r="U1" s="211"/>
      <c r="V1" s="211"/>
      <c r="W1" s="211"/>
      <c r="X1" s="211"/>
      <c r="Y1" s="200"/>
    </row>
    <row r="2" spans="1:25">
      <c r="A2" s="2" t="s">
        <v>103</v>
      </c>
      <c r="B2" s="180" t="s">
        <v>280</v>
      </c>
      <c r="C2" s="211"/>
      <c r="D2" s="211"/>
      <c r="E2" s="211"/>
      <c r="F2" s="211"/>
      <c r="G2" s="211"/>
      <c r="H2" s="211"/>
      <c r="I2" s="211"/>
      <c r="J2" s="211"/>
      <c r="K2" s="211"/>
      <c r="L2" s="211"/>
      <c r="M2" s="211"/>
      <c r="N2" s="211"/>
      <c r="O2" s="211"/>
      <c r="P2" s="211"/>
      <c r="Q2" s="211"/>
      <c r="R2" s="211"/>
      <c r="S2" s="211"/>
      <c r="T2" s="211"/>
      <c r="U2" s="211"/>
      <c r="V2" s="211"/>
      <c r="W2" s="211"/>
      <c r="X2" s="211"/>
      <c r="Y2" s="200"/>
    </row>
    <row r="3" spans="1:25">
      <c r="A3" s="2" t="s">
        <v>281</v>
      </c>
      <c r="B3" s="181" t="s">
        <v>282</v>
      </c>
      <c r="C3" s="208"/>
      <c r="D3" s="208"/>
      <c r="E3" s="208"/>
      <c r="F3" s="208"/>
      <c r="G3" s="208"/>
      <c r="H3" s="208"/>
      <c r="I3" s="208"/>
      <c r="J3" s="208"/>
      <c r="K3" s="208"/>
      <c r="L3" s="208"/>
      <c r="M3" s="208"/>
      <c r="N3" s="208"/>
      <c r="O3" s="208"/>
      <c r="P3" s="208"/>
      <c r="Q3" s="208"/>
      <c r="R3" s="208"/>
      <c r="S3" s="208"/>
      <c r="T3" s="208"/>
      <c r="U3" s="208"/>
      <c r="V3" s="208"/>
      <c r="W3" s="208"/>
      <c r="X3" s="208"/>
      <c r="Y3" s="209"/>
    </row>
    <row r="4" spans="1:25">
      <c r="A4" s="2" t="s">
        <v>283</v>
      </c>
      <c r="B4" s="180" t="s">
        <v>284</v>
      </c>
      <c r="C4" s="211"/>
      <c r="D4" s="211"/>
      <c r="E4" s="211"/>
      <c r="F4" s="211"/>
      <c r="G4" s="211"/>
      <c r="H4" s="211"/>
      <c r="I4" s="211"/>
      <c r="J4" s="211"/>
      <c r="K4" s="211"/>
      <c r="L4" s="211"/>
      <c r="M4" s="211"/>
      <c r="N4" s="211"/>
      <c r="O4" s="211"/>
      <c r="P4" s="211"/>
      <c r="Q4" s="211"/>
      <c r="R4" s="211"/>
      <c r="S4" s="211"/>
      <c r="T4" s="211"/>
      <c r="U4" s="211"/>
      <c r="V4" s="211"/>
      <c r="W4" s="211"/>
      <c r="X4" s="211"/>
      <c r="Y4" s="200"/>
    </row>
    <row r="5" spans="1:25">
      <c r="A5" s="2" t="s">
        <v>285</v>
      </c>
      <c r="B5" s="180" t="s">
        <v>286</v>
      </c>
      <c r="C5" s="211"/>
      <c r="D5" s="211"/>
      <c r="E5" s="211"/>
      <c r="F5" s="211"/>
      <c r="G5" s="211"/>
      <c r="H5" s="211"/>
      <c r="I5" s="211"/>
      <c r="J5" s="211"/>
      <c r="K5" s="211"/>
      <c r="L5" s="211"/>
      <c r="M5" s="211"/>
      <c r="N5" s="211"/>
      <c r="O5" s="211"/>
      <c r="P5" s="211"/>
      <c r="Q5" s="211"/>
      <c r="R5" s="211"/>
      <c r="S5" s="211"/>
      <c r="T5" s="211"/>
      <c r="U5" s="211"/>
      <c r="V5" s="211"/>
      <c r="W5" s="211"/>
      <c r="X5" s="211"/>
      <c r="Y5" s="200"/>
    </row>
    <row r="6" spans="1:25">
      <c r="A6" s="2" t="s">
        <v>287</v>
      </c>
      <c r="B6" s="180" t="s">
        <v>288</v>
      </c>
      <c r="C6" s="211"/>
      <c r="D6" s="211"/>
      <c r="E6" s="211"/>
      <c r="F6" s="211"/>
      <c r="G6" s="211"/>
      <c r="H6" s="211"/>
      <c r="I6" s="211"/>
      <c r="J6" s="211"/>
      <c r="K6" s="211"/>
      <c r="L6" s="211"/>
      <c r="M6" s="211"/>
      <c r="N6" s="211"/>
      <c r="O6" s="211"/>
      <c r="P6" s="211"/>
      <c r="Q6" s="211"/>
      <c r="R6" s="211"/>
      <c r="S6" s="211"/>
      <c r="T6" s="211"/>
      <c r="U6" s="211"/>
      <c r="V6" s="211"/>
      <c r="W6" s="211"/>
      <c r="X6" s="211"/>
      <c r="Y6" s="200"/>
    </row>
    <row r="7" spans="1:25">
      <c r="A7" s="2" t="s">
        <v>289</v>
      </c>
      <c r="B7" s="180" t="s">
        <v>290</v>
      </c>
      <c r="C7" s="211"/>
      <c r="D7" s="211"/>
      <c r="E7" s="211"/>
      <c r="F7" s="211"/>
      <c r="G7" s="211"/>
      <c r="H7" s="211"/>
      <c r="I7" s="211"/>
      <c r="J7" s="211"/>
      <c r="K7" s="211"/>
      <c r="L7" s="211"/>
      <c r="M7" s="211"/>
      <c r="N7" s="211"/>
      <c r="O7" s="211"/>
      <c r="P7" s="211"/>
      <c r="Q7" s="211"/>
      <c r="R7" s="211"/>
      <c r="S7" s="211"/>
      <c r="T7" s="211"/>
      <c r="U7" s="211"/>
      <c r="V7" s="211"/>
      <c r="W7" s="211"/>
      <c r="X7" s="211"/>
      <c r="Y7" s="200"/>
    </row>
    <row r="8" spans="1:25">
      <c r="A8" s="2" t="s">
        <v>291</v>
      </c>
      <c r="B8" s="180" t="s">
        <v>292</v>
      </c>
      <c r="C8" s="211"/>
      <c r="D8" s="211"/>
      <c r="E8" s="211"/>
      <c r="F8" s="211"/>
      <c r="G8" s="211"/>
      <c r="H8" s="211"/>
      <c r="I8" s="211"/>
      <c r="J8" s="211"/>
      <c r="K8" s="211"/>
      <c r="L8" s="211"/>
      <c r="M8" s="211"/>
      <c r="N8" s="211"/>
      <c r="O8" s="211"/>
      <c r="P8" s="211"/>
      <c r="Q8" s="211"/>
      <c r="R8" s="211"/>
      <c r="S8" s="211"/>
      <c r="T8" s="211"/>
      <c r="U8" s="211"/>
      <c r="V8" s="211"/>
      <c r="W8" s="211"/>
      <c r="X8" s="211"/>
      <c r="Y8" s="200"/>
    </row>
    <row r="9" spans="1:25">
      <c r="A9" s="2" t="s">
        <v>293</v>
      </c>
      <c r="B9" s="180" t="s">
        <v>294</v>
      </c>
      <c r="C9" s="211"/>
      <c r="D9" s="211"/>
      <c r="E9" s="211"/>
      <c r="F9" s="211"/>
      <c r="G9" s="211"/>
      <c r="H9" s="211"/>
      <c r="I9" s="211"/>
      <c r="J9" s="211"/>
      <c r="K9" s="211"/>
      <c r="L9" s="211"/>
      <c r="M9" s="211"/>
      <c r="N9" s="211"/>
      <c r="O9" s="211"/>
      <c r="P9" s="211"/>
      <c r="Q9" s="211"/>
      <c r="R9" s="211"/>
      <c r="S9" s="211"/>
      <c r="T9" s="211"/>
      <c r="U9" s="211"/>
      <c r="V9" s="211"/>
      <c r="W9" s="211"/>
      <c r="X9" s="211"/>
      <c r="Y9" s="200"/>
    </row>
    <row r="10" spans="1:25">
      <c r="A10" s="2" t="s">
        <v>295</v>
      </c>
      <c r="B10" s="180" t="s">
        <v>296</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5" ht="19.5" customHeight="1">
      <c r="A11" s="2" t="s">
        <v>297</v>
      </c>
      <c r="B11" s="180" t="s">
        <v>298</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5" ht="19.5" customHeight="1">
      <c r="A12" s="2" t="s">
        <v>299</v>
      </c>
      <c r="B12" s="180" t="s">
        <v>300</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5" ht="19.5" customHeight="1">
      <c r="A13" s="2" t="s">
        <v>301</v>
      </c>
      <c r="B13" s="180" t="s">
        <v>302</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5" ht="15.75" customHeight="1">
      <c r="A14" s="2" t="s">
        <v>303</v>
      </c>
      <c r="B14" s="181" t="s">
        <v>304</v>
      </c>
      <c r="C14" s="208"/>
      <c r="D14" s="208"/>
      <c r="E14" s="208"/>
      <c r="F14" s="208"/>
      <c r="G14" s="208"/>
      <c r="H14" s="208"/>
      <c r="I14" s="208"/>
      <c r="J14" s="208"/>
      <c r="K14" s="208"/>
      <c r="L14" s="208"/>
      <c r="M14" s="208"/>
      <c r="N14" s="208"/>
      <c r="O14" s="208"/>
      <c r="P14" s="208"/>
      <c r="Q14" s="208"/>
      <c r="R14" s="208"/>
      <c r="S14" s="208"/>
      <c r="T14" s="208"/>
      <c r="U14" s="208"/>
      <c r="V14" s="208"/>
      <c r="W14" s="208"/>
      <c r="X14" s="208"/>
      <c r="Y14" s="209"/>
    </row>
    <row r="15" spans="1:25" ht="15.75" customHeight="1">
      <c r="A15" s="2" t="s">
        <v>305</v>
      </c>
      <c r="B15" s="180" t="s">
        <v>306</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5" ht="15.75" customHeight="1">
      <c r="A16" s="2" t="s">
        <v>307</v>
      </c>
      <c r="B16" s="180" t="s">
        <v>308</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ht="15.75" customHeight="1">
      <c r="A17" s="2" t="s">
        <v>309</v>
      </c>
      <c r="B17" s="182" t="s">
        <v>310</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row r="18" spans="1:25" ht="15.75" customHeight="1">
      <c r="A18" s="44" t="s">
        <v>311</v>
      </c>
      <c r="B18" s="183" t="s">
        <v>312</v>
      </c>
      <c r="C18" s="211"/>
      <c r="D18" s="211"/>
      <c r="E18" s="211"/>
      <c r="F18" s="211"/>
      <c r="G18" s="211"/>
      <c r="H18" s="211"/>
      <c r="I18" s="211"/>
      <c r="J18" s="211"/>
      <c r="K18" s="211"/>
      <c r="L18" s="211"/>
      <c r="M18" s="211"/>
      <c r="N18" s="211"/>
      <c r="O18" s="211"/>
      <c r="P18" s="211"/>
      <c r="Q18" s="211"/>
      <c r="R18" s="211"/>
      <c r="S18" s="211"/>
      <c r="T18" s="211"/>
      <c r="U18" s="211"/>
      <c r="V18" s="211"/>
      <c r="W18" s="211"/>
      <c r="X18" s="211"/>
      <c r="Y18" s="200"/>
    </row>
    <row r="19" spans="1:25" ht="15.75" customHeight="1">
      <c r="A19" s="45" t="s">
        <v>313</v>
      </c>
      <c r="B19" s="184" t="s">
        <v>314</v>
      </c>
      <c r="C19" s="201"/>
      <c r="D19" s="201"/>
      <c r="E19" s="201"/>
      <c r="F19" s="201"/>
      <c r="G19" s="201"/>
      <c r="H19" s="201"/>
      <c r="I19" s="201"/>
      <c r="J19" s="201"/>
      <c r="K19" s="201"/>
      <c r="L19" s="201"/>
      <c r="M19" s="201"/>
      <c r="N19" s="201"/>
      <c r="O19" s="201"/>
      <c r="P19" s="201"/>
      <c r="Q19" s="201"/>
      <c r="R19" s="201"/>
      <c r="S19" s="201"/>
      <c r="T19" s="201"/>
      <c r="U19" s="201"/>
      <c r="V19" s="201"/>
      <c r="W19" s="201"/>
      <c r="X19" s="201"/>
      <c r="Y19" s="202"/>
    </row>
    <row r="20" spans="1:25" ht="15.75" customHeight="1">
      <c r="A20" s="44" t="s">
        <v>315</v>
      </c>
      <c r="B20" s="180" t="s">
        <v>316</v>
      </c>
      <c r="C20" s="211"/>
      <c r="D20" s="211"/>
      <c r="E20" s="211"/>
      <c r="F20" s="211"/>
      <c r="G20" s="211"/>
      <c r="H20" s="211"/>
      <c r="I20" s="211"/>
      <c r="J20" s="211"/>
      <c r="K20" s="211"/>
      <c r="L20" s="211"/>
      <c r="M20" s="211"/>
      <c r="N20" s="211"/>
      <c r="O20" s="211"/>
      <c r="P20" s="211"/>
      <c r="Q20" s="211"/>
      <c r="R20" s="211"/>
      <c r="S20" s="211"/>
      <c r="T20" s="211"/>
      <c r="U20" s="211"/>
      <c r="V20" s="211"/>
      <c r="W20" s="211"/>
      <c r="X20" s="211"/>
      <c r="Y20" s="200"/>
    </row>
    <row r="21" spans="1:25" ht="15.75" customHeight="1">
      <c r="A21" s="2" t="s">
        <v>317</v>
      </c>
      <c r="B21" s="180" t="s">
        <v>318</v>
      </c>
      <c r="C21" s="211"/>
      <c r="D21" s="211"/>
      <c r="E21" s="211"/>
      <c r="F21" s="211"/>
      <c r="G21" s="211"/>
      <c r="H21" s="211"/>
      <c r="I21" s="211"/>
      <c r="J21" s="211"/>
      <c r="K21" s="211"/>
      <c r="L21" s="211"/>
      <c r="M21" s="211"/>
      <c r="N21" s="211"/>
      <c r="O21" s="211"/>
      <c r="P21" s="211"/>
      <c r="Q21" s="211"/>
      <c r="R21" s="211"/>
      <c r="S21" s="211"/>
      <c r="T21" s="211"/>
      <c r="U21" s="211"/>
      <c r="V21" s="211"/>
      <c r="W21" s="211"/>
      <c r="X21" s="211"/>
      <c r="Y21" s="200"/>
    </row>
    <row r="22" spans="1:25" ht="15.75" customHeight="1">
      <c r="A22" s="2" t="s">
        <v>319</v>
      </c>
      <c r="B22" s="181" t="s">
        <v>320</v>
      </c>
      <c r="C22" s="208"/>
      <c r="D22" s="208"/>
      <c r="E22" s="208"/>
      <c r="F22" s="208"/>
      <c r="G22" s="208"/>
      <c r="H22" s="208"/>
      <c r="I22" s="208"/>
      <c r="J22" s="208"/>
      <c r="K22" s="208"/>
      <c r="L22" s="208"/>
      <c r="M22" s="208"/>
      <c r="N22" s="208"/>
      <c r="O22" s="208"/>
      <c r="P22" s="208"/>
      <c r="Q22" s="208"/>
      <c r="R22" s="208"/>
      <c r="S22" s="208"/>
      <c r="T22" s="208"/>
      <c r="U22" s="208"/>
      <c r="V22" s="208"/>
      <c r="W22" s="208"/>
      <c r="X22" s="208"/>
      <c r="Y22" s="209"/>
    </row>
    <row r="23" spans="1:25" ht="15.75" customHeight="1">
      <c r="A23" s="2" t="s">
        <v>321</v>
      </c>
      <c r="B23" s="180" t="s">
        <v>322</v>
      </c>
      <c r="C23" s="211"/>
      <c r="D23" s="211"/>
      <c r="E23" s="211"/>
      <c r="F23" s="211"/>
      <c r="G23" s="211"/>
      <c r="H23" s="211"/>
      <c r="I23" s="211"/>
      <c r="J23" s="211"/>
      <c r="K23" s="211"/>
      <c r="L23" s="211"/>
      <c r="M23" s="211"/>
      <c r="N23" s="211"/>
      <c r="O23" s="211"/>
      <c r="P23" s="211"/>
      <c r="Q23" s="211"/>
      <c r="R23" s="211"/>
      <c r="S23" s="211"/>
      <c r="T23" s="211"/>
      <c r="U23" s="211"/>
      <c r="V23" s="211"/>
      <c r="W23" s="211"/>
      <c r="X23" s="211"/>
      <c r="Y23" s="200"/>
    </row>
    <row r="24" spans="1:25" ht="15.75" customHeight="1">
      <c r="A24" s="2" t="s">
        <v>323</v>
      </c>
      <c r="B24" s="180" t="s">
        <v>324</v>
      </c>
      <c r="C24" s="211"/>
      <c r="D24" s="211"/>
      <c r="E24" s="211"/>
      <c r="F24" s="211"/>
      <c r="G24" s="211"/>
      <c r="H24" s="211"/>
      <c r="I24" s="211"/>
      <c r="J24" s="211"/>
      <c r="K24" s="211"/>
      <c r="L24" s="211"/>
      <c r="M24" s="211"/>
      <c r="N24" s="211"/>
      <c r="O24" s="211"/>
      <c r="P24" s="211"/>
      <c r="Q24" s="211"/>
      <c r="R24" s="211"/>
      <c r="S24" s="211"/>
      <c r="T24" s="211"/>
      <c r="U24" s="211"/>
      <c r="V24" s="211"/>
      <c r="W24" s="211"/>
      <c r="X24" s="211"/>
      <c r="Y24" s="200"/>
    </row>
    <row r="25" spans="1:25" ht="15.75" customHeight="1">
      <c r="A25" s="2" t="s">
        <v>325</v>
      </c>
      <c r="B25" s="180" t="s">
        <v>326</v>
      </c>
      <c r="C25" s="211"/>
      <c r="D25" s="211"/>
      <c r="E25" s="211"/>
      <c r="F25" s="211"/>
      <c r="G25" s="211"/>
      <c r="H25" s="211"/>
      <c r="I25" s="211"/>
      <c r="J25" s="211"/>
      <c r="K25" s="211"/>
      <c r="L25" s="211"/>
      <c r="M25" s="211"/>
      <c r="N25" s="211"/>
      <c r="O25" s="211"/>
      <c r="P25" s="211"/>
      <c r="Q25" s="211"/>
      <c r="R25" s="211"/>
      <c r="S25" s="211"/>
      <c r="T25" s="211"/>
      <c r="U25" s="211"/>
      <c r="V25" s="211"/>
      <c r="W25" s="211"/>
      <c r="X25" s="211"/>
      <c r="Y25" s="200"/>
    </row>
    <row r="26" spans="1:25" ht="15.75" customHeight="1">
      <c r="A26" s="2" t="s">
        <v>327</v>
      </c>
      <c r="B26" s="180" t="s">
        <v>328</v>
      </c>
      <c r="C26" s="211"/>
      <c r="D26" s="211"/>
      <c r="E26" s="211"/>
      <c r="F26" s="211"/>
      <c r="G26" s="211"/>
      <c r="H26" s="211"/>
      <c r="I26" s="211"/>
      <c r="J26" s="211"/>
      <c r="K26" s="211"/>
      <c r="L26" s="211"/>
      <c r="M26" s="211"/>
      <c r="N26" s="211"/>
      <c r="O26" s="211"/>
      <c r="P26" s="211"/>
      <c r="Q26" s="211"/>
      <c r="R26" s="211"/>
      <c r="S26" s="211"/>
      <c r="T26" s="211"/>
      <c r="U26" s="211"/>
      <c r="V26" s="211"/>
      <c r="W26" s="211"/>
      <c r="X26" s="211"/>
      <c r="Y26" s="200"/>
    </row>
    <row r="27" spans="1:25" ht="15.75" customHeight="1">
      <c r="A27" s="2" t="s">
        <v>329</v>
      </c>
      <c r="B27" s="181" t="s">
        <v>330</v>
      </c>
      <c r="C27" s="208"/>
      <c r="D27" s="208"/>
      <c r="E27" s="208"/>
      <c r="F27" s="208"/>
      <c r="G27" s="208"/>
      <c r="H27" s="208"/>
      <c r="I27" s="208"/>
      <c r="J27" s="208"/>
      <c r="K27" s="208"/>
      <c r="L27" s="208"/>
      <c r="M27" s="208"/>
      <c r="N27" s="208"/>
      <c r="O27" s="208"/>
      <c r="P27" s="208"/>
      <c r="Q27" s="208"/>
      <c r="R27" s="208"/>
      <c r="S27" s="208"/>
      <c r="T27" s="208"/>
      <c r="U27" s="208"/>
      <c r="V27" s="208"/>
      <c r="W27" s="208"/>
      <c r="X27" s="208"/>
      <c r="Y27" s="209"/>
    </row>
    <row r="28" spans="1:25" ht="15.75" customHeight="1">
      <c r="A28" s="2" t="s">
        <v>331</v>
      </c>
      <c r="B28" s="180" t="s">
        <v>332</v>
      </c>
      <c r="C28" s="211"/>
      <c r="D28" s="211"/>
      <c r="E28" s="211"/>
      <c r="F28" s="211"/>
      <c r="G28" s="211"/>
      <c r="H28" s="211"/>
      <c r="I28" s="211"/>
      <c r="J28" s="211"/>
      <c r="K28" s="211"/>
      <c r="L28" s="211"/>
      <c r="M28" s="211"/>
      <c r="N28" s="211"/>
      <c r="O28" s="211"/>
      <c r="P28" s="211"/>
      <c r="Q28" s="211"/>
      <c r="R28" s="211"/>
      <c r="S28" s="211"/>
      <c r="T28" s="211"/>
      <c r="U28" s="211"/>
      <c r="V28" s="211"/>
      <c r="W28" s="211"/>
      <c r="X28" s="211"/>
      <c r="Y28" s="200"/>
    </row>
    <row r="29" spans="1:25" ht="15.75" customHeight="1">
      <c r="A29" s="2" t="s">
        <v>333</v>
      </c>
      <c r="B29" s="180" t="s">
        <v>334</v>
      </c>
      <c r="C29" s="211"/>
      <c r="D29" s="211"/>
      <c r="E29" s="211"/>
      <c r="F29" s="211"/>
      <c r="G29" s="211"/>
      <c r="H29" s="211"/>
      <c r="I29" s="211"/>
      <c r="J29" s="211"/>
      <c r="K29" s="211"/>
      <c r="L29" s="211"/>
      <c r="M29" s="211"/>
      <c r="N29" s="211"/>
      <c r="O29" s="211"/>
      <c r="P29" s="211"/>
      <c r="Q29" s="211"/>
      <c r="R29" s="211"/>
      <c r="S29" s="211"/>
      <c r="T29" s="211"/>
      <c r="U29" s="211"/>
      <c r="V29" s="211"/>
      <c r="W29" s="211"/>
      <c r="X29" s="211"/>
      <c r="Y29" s="200"/>
    </row>
    <row r="30" spans="1:25" ht="15.75" customHeight="1">
      <c r="A30" s="2" t="s">
        <v>335</v>
      </c>
      <c r="B30" s="181" t="s">
        <v>336</v>
      </c>
      <c r="C30" s="208"/>
      <c r="D30" s="208"/>
      <c r="E30" s="208"/>
      <c r="F30" s="208"/>
      <c r="G30" s="208"/>
      <c r="H30" s="208"/>
      <c r="I30" s="208"/>
      <c r="J30" s="208"/>
      <c r="K30" s="208"/>
      <c r="L30" s="208"/>
      <c r="M30" s="208"/>
      <c r="N30" s="208"/>
      <c r="O30" s="208"/>
      <c r="P30" s="208"/>
      <c r="Q30" s="208"/>
      <c r="R30" s="208"/>
      <c r="S30" s="208"/>
      <c r="T30" s="208"/>
      <c r="U30" s="208"/>
      <c r="V30" s="208"/>
      <c r="W30" s="208"/>
      <c r="X30" s="208"/>
      <c r="Y30" s="209"/>
    </row>
    <row r="31" spans="1:25" ht="15.75" customHeight="1">
      <c r="A31" s="2" t="s">
        <v>337</v>
      </c>
      <c r="B31" s="180" t="s">
        <v>338</v>
      </c>
      <c r="C31" s="211"/>
      <c r="D31" s="211"/>
      <c r="E31" s="211"/>
      <c r="F31" s="211"/>
      <c r="G31" s="211"/>
      <c r="H31" s="211"/>
      <c r="I31" s="211"/>
      <c r="J31" s="211"/>
      <c r="K31" s="211"/>
      <c r="L31" s="211"/>
      <c r="M31" s="211"/>
      <c r="N31" s="211"/>
      <c r="O31" s="211"/>
      <c r="P31" s="211"/>
      <c r="Q31" s="211"/>
      <c r="R31" s="211"/>
      <c r="S31" s="211"/>
      <c r="T31" s="211"/>
      <c r="U31" s="211"/>
      <c r="V31" s="211"/>
      <c r="W31" s="211"/>
      <c r="X31" s="211"/>
      <c r="Y31" s="200"/>
    </row>
    <row r="32" spans="1:25" ht="15.75" customHeight="1">
      <c r="A32" s="2" t="s">
        <v>339</v>
      </c>
      <c r="B32" s="180" t="s">
        <v>340</v>
      </c>
      <c r="C32" s="211"/>
      <c r="D32" s="211"/>
      <c r="E32" s="211"/>
      <c r="F32" s="211"/>
      <c r="G32" s="211"/>
      <c r="H32" s="211"/>
      <c r="I32" s="211"/>
      <c r="J32" s="211"/>
      <c r="K32" s="211"/>
      <c r="L32" s="211"/>
      <c r="M32" s="211"/>
      <c r="N32" s="211"/>
      <c r="O32" s="211"/>
      <c r="P32" s="211"/>
      <c r="Q32" s="211"/>
      <c r="R32" s="211"/>
      <c r="S32" s="211"/>
      <c r="T32" s="211"/>
      <c r="U32" s="211"/>
      <c r="V32" s="211"/>
      <c r="W32" s="211"/>
      <c r="X32" s="211"/>
      <c r="Y32" s="200"/>
    </row>
    <row r="33" spans="1:25" ht="15.75" customHeight="1">
      <c r="A33" s="2" t="s">
        <v>341</v>
      </c>
      <c r="B33" s="180" t="s">
        <v>342</v>
      </c>
      <c r="C33" s="211"/>
      <c r="D33" s="211"/>
      <c r="E33" s="211"/>
      <c r="F33" s="211"/>
      <c r="G33" s="211"/>
      <c r="H33" s="211"/>
      <c r="I33" s="211"/>
      <c r="J33" s="211"/>
      <c r="K33" s="211"/>
      <c r="L33" s="211"/>
      <c r="M33" s="211"/>
      <c r="N33" s="211"/>
      <c r="O33" s="211"/>
      <c r="P33" s="46"/>
      <c r="Q33" s="46"/>
      <c r="R33" s="46"/>
      <c r="S33" s="46"/>
      <c r="T33" s="46"/>
      <c r="U33" s="46"/>
      <c r="V33" s="46"/>
      <c r="W33" s="46"/>
      <c r="X33" s="46"/>
      <c r="Y33" s="46"/>
    </row>
    <row r="34" spans="1:25" ht="15.75" customHeight="1">
      <c r="A34" s="2" t="s">
        <v>343</v>
      </c>
      <c r="B34" s="180" t="s">
        <v>344</v>
      </c>
      <c r="C34" s="211"/>
      <c r="D34" s="211"/>
      <c r="E34" s="211"/>
      <c r="F34" s="211"/>
      <c r="G34" s="211"/>
      <c r="H34" s="211"/>
      <c r="I34" s="211"/>
      <c r="J34" s="211"/>
      <c r="K34" s="211"/>
      <c r="L34" s="211"/>
      <c r="M34" s="211"/>
      <c r="N34" s="211"/>
      <c r="O34" s="211"/>
      <c r="P34" s="46"/>
      <c r="Q34" s="46"/>
      <c r="R34" s="46"/>
      <c r="S34" s="46"/>
      <c r="T34" s="46"/>
      <c r="U34" s="46"/>
      <c r="V34" s="46"/>
      <c r="W34" s="46"/>
      <c r="X34" s="46"/>
      <c r="Y34" s="46"/>
    </row>
    <row r="35" spans="1:25" ht="15.75" customHeight="1">
      <c r="A35" s="2" t="s">
        <v>345</v>
      </c>
      <c r="B35" s="180" t="s">
        <v>346</v>
      </c>
      <c r="C35" s="211"/>
      <c r="D35" s="211"/>
      <c r="E35" s="211"/>
      <c r="F35" s="211"/>
      <c r="G35" s="211"/>
      <c r="H35" s="211"/>
      <c r="I35" s="211"/>
      <c r="J35" s="211"/>
      <c r="K35" s="211"/>
      <c r="L35" s="211"/>
      <c r="M35" s="211"/>
      <c r="N35" s="211"/>
      <c r="O35" s="211"/>
      <c r="P35" s="46"/>
      <c r="Q35" s="46"/>
      <c r="R35" s="46"/>
      <c r="S35" s="46"/>
      <c r="T35" s="46"/>
      <c r="U35" s="46"/>
      <c r="V35" s="46"/>
      <c r="W35" s="46"/>
      <c r="X35" s="46"/>
      <c r="Y35" s="46"/>
    </row>
    <row r="36" spans="1:25" ht="15.75" customHeight="1">
      <c r="A36" s="2" t="s">
        <v>347</v>
      </c>
      <c r="B36" s="180" t="s">
        <v>348</v>
      </c>
      <c r="C36" s="211"/>
      <c r="D36" s="211"/>
      <c r="E36" s="211"/>
      <c r="F36" s="211"/>
      <c r="G36" s="211"/>
      <c r="H36" s="211"/>
      <c r="I36" s="211"/>
      <c r="J36" s="211"/>
      <c r="K36" s="211"/>
      <c r="L36" s="211"/>
      <c r="M36" s="211"/>
      <c r="N36" s="211"/>
      <c r="O36" s="211"/>
      <c r="P36" s="46"/>
      <c r="Q36" s="46"/>
      <c r="R36" s="46"/>
      <c r="S36" s="46"/>
      <c r="T36" s="46"/>
      <c r="U36" s="46"/>
      <c r="V36" s="46"/>
      <c r="W36" s="46"/>
      <c r="X36" s="46"/>
      <c r="Y36" s="46"/>
    </row>
    <row r="37" spans="1:25" ht="15.75" customHeight="1">
      <c r="A37" s="2" t="s">
        <v>349</v>
      </c>
      <c r="B37" s="180" t="s">
        <v>350</v>
      </c>
      <c r="C37" s="211"/>
      <c r="D37" s="211"/>
      <c r="E37" s="211"/>
      <c r="F37" s="211"/>
      <c r="G37" s="211"/>
      <c r="H37" s="211"/>
      <c r="I37" s="211"/>
      <c r="J37" s="211"/>
      <c r="K37" s="211"/>
      <c r="L37" s="211"/>
      <c r="M37" s="211"/>
      <c r="N37" s="211"/>
      <c r="O37" s="211"/>
      <c r="P37" s="46"/>
      <c r="Q37" s="46"/>
      <c r="R37" s="46"/>
      <c r="S37" s="46"/>
      <c r="T37" s="46"/>
      <c r="U37" s="46"/>
      <c r="V37" s="46"/>
      <c r="W37" s="46"/>
      <c r="X37" s="46"/>
      <c r="Y37" s="46"/>
    </row>
    <row r="38" spans="1:25" ht="15.75" customHeight="1">
      <c r="A38" s="2" t="s">
        <v>351</v>
      </c>
      <c r="B38" s="180" t="s">
        <v>352</v>
      </c>
      <c r="C38" s="211"/>
      <c r="D38" s="211"/>
      <c r="E38" s="211"/>
      <c r="F38" s="211"/>
      <c r="G38" s="211"/>
      <c r="H38" s="211"/>
      <c r="I38" s="211"/>
      <c r="J38" s="211"/>
      <c r="K38" s="211"/>
      <c r="L38" s="211"/>
      <c r="M38" s="211"/>
      <c r="N38" s="211"/>
      <c r="O38" s="211"/>
      <c r="P38" s="46"/>
      <c r="Q38" s="46"/>
      <c r="R38" s="46"/>
      <c r="S38" s="46"/>
      <c r="T38" s="46"/>
      <c r="U38" s="46"/>
      <c r="V38" s="46"/>
      <c r="W38" s="46"/>
      <c r="X38" s="46"/>
      <c r="Y38" s="46"/>
    </row>
    <row r="39" spans="1:25" ht="15.75" customHeight="1">
      <c r="A39" s="2" t="s">
        <v>353</v>
      </c>
      <c r="B39" s="180" t="s">
        <v>354</v>
      </c>
      <c r="C39" s="211"/>
      <c r="D39" s="211"/>
      <c r="E39" s="211"/>
      <c r="F39" s="211"/>
      <c r="G39" s="211"/>
      <c r="H39" s="211"/>
      <c r="I39" s="211"/>
      <c r="J39" s="211"/>
      <c r="K39" s="211"/>
      <c r="L39" s="211"/>
      <c r="M39" s="211"/>
      <c r="N39" s="211"/>
      <c r="O39" s="211"/>
      <c r="P39" s="46"/>
      <c r="Q39" s="46"/>
      <c r="R39" s="46"/>
      <c r="S39" s="46"/>
      <c r="T39" s="46"/>
      <c r="U39" s="46"/>
      <c r="V39" s="46"/>
      <c r="W39" s="46"/>
      <c r="X39" s="46"/>
      <c r="Y39" s="46"/>
    </row>
    <row r="40" spans="1:25" ht="15.75" customHeight="1">
      <c r="A40" s="2" t="s">
        <v>355</v>
      </c>
      <c r="B40" s="180" t="s">
        <v>356</v>
      </c>
      <c r="C40" s="211"/>
      <c r="D40" s="211"/>
      <c r="E40" s="211"/>
      <c r="F40" s="211"/>
      <c r="G40" s="211"/>
      <c r="H40" s="211"/>
      <c r="I40" s="211"/>
      <c r="J40" s="211"/>
      <c r="K40" s="211"/>
      <c r="L40" s="211"/>
      <c r="M40" s="211"/>
      <c r="N40" s="211"/>
      <c r="O40" s="211"/>
      <c r="P40" s="46"/>
      <c r="Q40" s="46"/>
      <c r="R40" s="46"/>
      <c r="S40" s="46"/>
      <c r="T40" s="46"/>
      <c r="U40" s="46"/>
      <c r="V40" s="46"/>
      <c r="W40" s="46"/>
      <c r="X40" s="46"/>
      <c r="Y40" s="46"/>
    </row>
    <row r="41" spans="1:25" ht="15.75" customHeight="1">
      <c r="A41" s="2" t="s">
        <v>357</v>
      </c>
      <c r="B41" s="180" t="s">
        <v>358</v>
      </c>
      <c r="C41" s="211"/>
      <c r="D41" s="211"/>
      <c r="E41" s="211"/>
      <c r="F41" s="211"/>
      <c r="G41" s="211"/>
      <c r="H41" s="211"/>
      <c r="I41" s="211"/>
      <c r="J41" s="211"/>
      <c r="K41" s="211"/>
      <c r="L41" s="211"/>
      <c r="M41" s="211"/>
      <c r="N41" s="211"/>
      <c r="O41" s="211"/>
      <c r="P41" s="211"/>
      <c r="Q41" s="211"/>
      <c r="R41" s="211"/>
      <c r="S41" s="211"/>
      <c r="T41" s="211"/>
      <c r="U41" s="211"/>
      <c r="V41" s="211"/>
      <c r="W41" s="211"/>
      <c r="X41" s="211"/>
      <c r="Y41" s="200"/>
    </row>
    <row r="42" spans="1:25" ht="15.75" customHeight="1">
      <c r="A42" s="2" t="s">
        <v>359</v>
      </c>
      <c r="B42" s="181" t="s">
        <v>360</v>
      </c>
      <c r="C42" s="208"/>
      <c r="D42" s="208"/>
      <c r="E42" s="208"/>
      <c r="F42" s="208"/>
      <c r="G42" s="208"/>
      <c r="H42" s="208"/>
      <c r="I42" s="208"/>
      <c r="J42" s="208"/>
      <c r="K42" s="208"/>
      <c r="L42" s="208"/>
      <c r="M42" s="208"/>
      <c r="N42" s="208"/>
      <c r="O42" s="208"/>
      <c r="P42" s="208"/>
      <c r="Q42" s="208"/>
      <c r="R42" s="208"/>
      <c r="S42" s="208"/>
      <c r="T42" s="208"/>
      <c r="U42" s="208"/>
      <c r="V42" s="208"/>
      <c r="W42" s="208"/>
      <c r="X42" s="208"/>
      <c r="Y42" s="209"/>
    </row>
    <row r="43" spans="1:25" ht="15.75" customHeight="1">
      <c r="A43" s="2" t="s">
        <v>361</v>
      </c>
      <c r="B43" s="180" t="s">
        <v>362</v>
      </c>
      <c r="C43" s="211"/>
      <c r="D43" s="211"/>
      <c r="E43" s="211"/>
      <c r="F43" s="211"/>
      <c r="G43" s="211"/>
      <c r="H43" s="211"/>
      <c r="I43" s="211"/>
      <c r="J43" s="211"/>
      <c r="K43" s="211"/>
      <c r="L43" s="211"/>
      <c r="M43" s="211"/>
      <c r="N43" s="211"/>
      <c r="O43" s="211"/>
      <c r="P43" s="211"/>
      <c r="Q43" s="211"/>
      <c r="R43" s="211"/>
      <c r="S43" s="211"/>
      <c r="T43" s="211"/>
      <c r="U43" s="211"/>
      <c r="V43" s="211"/>
      <c r="W43" s="211"/>
      <c r="X43" s="211"/>
      <c r="Y43" s="200"/>
    </row>
    <row r="44" spans="1:25" ht="15.75" customHeight="1">
      <c r="A44" s="2" t="s">
        <v>363</v>
      </c>
      <c r="B44" s="181" t="s">
        <v>364</v>
      </c>
      <c r="C44" s="208"/>
      <c r="D44" s="208"/>
      <c r="E44" s="208"/>
      <c r="F44" s="208"/>
      <c r="G44" s="208"/>
      <c r="H44" s="208"/>
      <c r="I44" s="208"/>
      <c r="J44" s="208"/>
      <c r="K44" s="208"/>
      <c r="L44" s="208"/>
      <c r="M44" s="208"/>
      <c r="N44" s="208"/>
      <c r="O44" s="208"/>
      <c r="P44" s="208"/>
      <c r="Q44" s="208"/>
      <c r="R44" s="208"/>
      <c r="S44" s="208"/>
      <c r="T44" s="208"/>
      <c r="U44" s="208"/>
      <c r="V44" s="208"/>
      <c r="W44" s="208"/>
      <c r="X44" s="208"/>
      <c r="Y44" s="209"/>
    </row>
    <row r="45" spans="1:25" ht="15.75" customHeight="1">
      <c r="A45" s="2" t="s">
        <v>365</v>
      </c>
      <c r="B45" s="181" t="s">
        <v>366</v>
      </c>
      <c r="C45" s="208"/>
      <c r="D45" s="208"/>
      <c r="E45" s="208"/>
      <c r="F45" s="208"/>
      <c r="G45" s="208"/>
      <c r="H45" s="208"/>
      <c r="I45" s="208"/>
      <c r="J45" s="208"/>
      <c r="K45" s="208"/>
      <c r="L45" s="208"/>
      <c r="M45" s="208"/>
      <c r="N45" s="208"/>
      <c r="O45" s="208"/>
      <c r="P45" s="208"/>
      <c r="Q45" s="208"/>
      <c r="R45" s="208"/>
      <c r="S45" s="208"/>
      <c r="T45" s="208"/>
      <c r="U45" s="208"/>
      <c r="V45" s="208"/>
      <c r="W45" s="208"/>
      <c r="X45" s="208"/>
      <c r="Y45" s="209"/>
    </row>
    <row r="46" spans="1:25" ht="15.75" customHeight="1">
      <c r="A46" s="2" t="s">
        <v>367</v>
      </c>
      <c r="B46" s="181" t="s">
        <v>368</v>
      </c>
      <c r="C46" s="208"/>
      <c r="D46" s="208"/>
      <c r="E46" s="208"/>
      <c r="F46" s="208"/>
      <c r="G46" s="208"/>
      <c r="H46" s="208"/>
      <c r="I46" s="208"/>
      <c r="J46" s="208"/>
      <c r="K46" s="208"/>
      <c r="L46" s="208"/>
      <c r="M46" s="208"/>
      <c r="N46" s="208"/>
      <c r="O46" s="208"/>
      <c r="P46" s="208"/>
      <c r="Q46" s="208"/>
      <c r="R46" s="208"/>
      <c r="S46" s="208"/>
      <c r="T46" s="208"/>
      <c r="U46" s="208"/>
      <c r="V46" s="208"/>
      <c r="W46" s="208"/>
      <c r="X46" s="208"/>
      <c r="Y46" s="209"/>
    </row>
    <row r="47" spans="1:25" ht="15.75" customHeight="1">
      <c r="A47" s="2" t="s">
        <v>369</v>
      </c>
      <c r="B47" s="181" t="s">
        <v>370</v>
      </c>
      <c r="C47" s="208"/>
      <c r="D47" s="208"/>
      <c r="E47" s="208"/>
      <c r="F47" s="208"/>
      <c r="G47" s="208"/>
      <c r="H47" s="208"/>
      <c r="I47" s="208"/>
      <c r="J47" s="208"/>
      <c r="K47" s="208"/>
      <c r="L47" s="208"/>
      <c r="M47" s="208"/>
      <c r="N47" s="208"/>
      <c r="O47" s="208"/>
      <c r="P47" s="208"/>
      <c r="Q47" s="208"/>
      <c r="R47" s="208"/>
      <c r="S47" s="208"/>
      <c r="T47" s="208"/>
      <c r="U47" s="208"/>
      <c r="V47" s="208"/>
      <c r="W47" s="208"/>
      <c r="X47" s="208"/>
      <c r="Y47" s="209"/>
    </row>
    <row r="48" spans="1:25" ht="15.75" customHeight="1">
      <c r="A48" s="2" t="s">
        <v>371</v>
      </c>
      <c r="B48" s="181" t="s">
        <v>372</v>
      </c>
      <c r="C48" s="208"/>
      <c r="D48" s="208"/>
      <c r="E48" s="208"/>
      <c r="F48" s="208"/>
      <c r="G48" s="208"/>
      <c r="H48" s="208"/>
      <c r="I48" s="208"/>
      <c r="J48" s="208"/>
      <c r="K48" s="208"/>
      <c r="L48" s="208"/>
      <c r="M48" s="208"/>
      <c r="N48" s="208"/>
      <c r="O48" s="208"/>
      <c r="P48" s="208"/>
      <c r="Q48" s="208"/>
      <c r="R48" s="208"/>
      <c r="S48" s="208"/>
      <c r="T48" s="208"/>
      <c r="U48" s="208"/>
      <c r="V48" s="208"/>
      <c r="W48" s="208"/>
      <c r="X48" s="208"/>
      <c r="Y48" s="209"/>
    </row>
  </sheetData>
  <mergeCells count="48">
    <mergeCell ref="B48:Y48"/>
    <mergeCell ref="B36:O36"/>
    <mergeCell ref="B37:O37"/>
    <mergeCell ref="B38:O38"/>
    <mergeCell ref="B39:O39"/>
    <mergeCell ref="B40:O40"/>
    <mergeCell ref="B41:Y41"/>
    <mergeCell ref="B42:Y42"/>
    <mergeCell ref="B43:Y43"/>
    <mergeCell ref="B44:Y44"/>
    <mergeCell ref="B45:Y45"/>
    <mergeCell ref="B46:Y46"/>
    <mergeCell ref="B47:Y47"/>
    <mergeCell ref="B31:Y31"/>
    <mergeCell ref="B32:Y32"/>
    <mergeCell ref="B33:O33"/>
    <mergeCell ref="B34:O34"/>
    <mergeCell ref="B35:O35"/>
    <mergeCell ref="B26:Y26"/>
    <mergeCell ref="B27:Y27"/>
    <mergeCell ref="B28:Y28"/>
    <mergeCell ref="B29:Y29"/>
    <mergeCell ref="B30:Y30"/>
    <mergeCell ref="B21:Y21"/>
    <mergeCell ref="B22:Y22"/>
    <mergeCell ref="B23:Y23"/>
    <mergeCell ref="B24:Y24"/>
    <mergeCell ref="B25:Y25"/>
    <mergeCell ref="B16:Y16"/>
    <mergeCell ref="B17:Y17"/>
    <mergeCell ref="B18:Y18"/>
    <mergeCell ref="B19:Y19"/>
    <mergeCell ref="B20:Y20"/>
    <mergeCell ref="B11:Y11"/>
    <mergeCell ref="B12:Y12"/>
    <mergeCell ref="B13:Y13"/>
    <mergeCell ref="B14:Y14"/>
    <mergeCell ref="B15:Y15"/>
    <mergeCell ref="B6:Y6"/>
    <mergeCell ref="B7:Y7"/>
    <mergeCell ref="B8:Y8"/>
    <mergeCell ref="B9:Y9"/>
    <mergeCell ref="B10:Y10"/>
    <mergeCell ref="B1:Y1"/>
    <mergeCell ref="B2:Y2"/>
    <mergeCell ref="B3:Y3"/>
    <mergeCell ref="B4:Y4"/>
    <mergeCell ref="B5:Y5"/>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24"/>
  <sheetViews>
    <sheetView workbookViewId="0"/>
  </sheetViews>
  <sheetFormatPr defaultColWidth="12.5703125" defaultRowHeight="15" customHeight="1"/>
  <cols>
    <col min="1" max="1" width="22.85546875" customWidth="1"/>
    <col min="2" max="2" width="24" customWidth="1"/>
    <col min="3" max="25" width="19.7109375" customWidth="1"/>
    <col min="26" max="29" width="8.85546875" customWidth="1"/>
  </cols>
  <sheetData>
    <row r="1" spans="1:29" ht="86.25" customHeight="1">
      <c r="A1" s="51" t="s">
        <v>373</v>
      </c>
      <c r="B1" s="52" t="s">
        <v>374</v>
      </c>
      <c r="C1" s="53" t="s">
        <v>375</v>
      </c>
      <c r="D1" s="54"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63.75">
      <c r="A2" s="62" t="s">
        <v>399</v>
      </c>
      <c r="B2" s="63" t="s">
        <v>400</v>
      </c>
      <c r="C2" s="64" t="s">
        <v>401</v>
      </c>
      <c r="D2" s="65"/>
      <c r="E2" s="65"/>
      <c r="F2" s="65"/>
      <c r="G2" s="65"/>
      <c r="H2" s="66"/>
      <c r="I2" s="65"/>
      <c r="J2" s="65"/>
      <c r="K2" s="65"/>
      <c r="L2" s="65"/>
      <c r="M2" s="65"/>
      <c r="N2" s="65"/>
      <c r="O2" s="65"/>
      <c r="P2" s="65"/>
      <c r="Q2" s="65"/>
      <c r="R2" s="65"/>
      <c r="S2" s="65"/>
      <c r="T2" s="65"/>
      <c r="U2" s="67"/>
      <c r="V2" s="65"/>
      <c r="W2" s="65"/>
      <c r="X2" s="65"/>
      <c r="Y2" s="65"/>
      <c r="AA2" s="207"/>
      <c r="AB2" s="208"/>
      <c r="AC2" s="209"/>
    </row>
    <row r="3" spans="1:29" ht="51">
      <c r="A3" s="68" t="s">
        <v>402</v>
      </c>
      <c r="B3" s="69" t="s">
        <v>403</v>
      </c>
      <c r="C3" s="70" t="s">
        <v>404</v>
      </c>
      <c r="D3" s="71"/>
      <c r="E3" s="72"/>
      <c r="F3" s="65"/>
      <c r="G3" s="73"/>
      <c r="H3" s="72"/>
      <c r="I3" s="74" t="s">
        <v>405</v>
      </c>
      <c r="J3" s="75" t="s">
        <v>404</v>
      </c>
      <c r="K3" s="71"/>
      <c r="L3" s="65"/>
      <c r="M3" s="65"/>
      <c r="N3" s="65"/>
      <c r="O3" s="65"/>
      <c r="P3" s="65"/>
      <c r="Q3" s="65"/>
      <c r="R3" s="65"/>
      <c r="S3" s="65"/>
      <c r="T3" s="65"/>
      <c r="U3" s="67"/>
      <c r="V3" s="65"/>
      <c r="W3" s="65"/>
      <c r="X3" s="65"/>
      <c r="Y3" s="65"/>
    </row>
    <row r="4" spans="1:29" ht="51">
      <c r="A4" s="68" t="s">
        <v>406</v>
      </c>
      <c r="B4" s="63" t="s">
        <v>407</v>
      </c>
      <c r="C4" s="70" t="s">
        <v>408</v>
      </c>
      <c r="D4" s="66"/>
      <c r="E4" s="65"/>
      <c r="F4" s="65"/>
      <c r="G4" s="73"/>
      <c r="H4" s="43"/>
      <c r="I4" s="70" t="s">
        <v>408</v>
      </c>
      <c r="J4" s="78"/>
      <c r="K4" s="79"/>
      <c r="L4" s="79" t="s">
        <v>409</v>
      </c>
      <c r="M4" s="65"/>
      <c r="N4" s="65"/>
      <c r="O4" s="65"/>
      <c r="P4" s="65"/>
      <c r="Q4" s="65"/>
      <c r="R4" s="65"/>
      <c r="S4" s="65"/>
      <c r="T4" s="65"/>
      <c r="U4" s="67"/>
      <c r="V4" s="65"/>
      <c r="W4" s="65"/>
      <c r="X4" s="65"/>
      <c r="Y4" s="65"/>
    </row>
    <row r="5" spans="1:29" ht="38.25">
      <c r="A5" s="81" t="s">
        <v>410</v>
      </c>
      <c r="B5" s="63" t="s">
        <v>411</v>
      </c>
      <c r="C5" s="73"/>
      <c r="D5" s="79"/>
      <c r="E5" s="71"/>
      <c r="F5" s="65"/>
      <c r="G5" s="73"/>
      <c r="H5" s="75"/>
      <c r="I5" s="78"/>
      <c r="J5" s="65"/>
      <c r="K5" s="43"/>
      <c r="L5" s="72"/>
      <c r="M5" s="71"/>
      <c r="N5" s="65"/>
      <c r="O5" s="65"/>
      <c r="P5" s="65"/>
      <c r="Q5" s="65"/>
      <c r="R5" s="65"/>
      <c r="S5" s="65"/>
      <c r="T5" s="65"/>
      <c r="U5" s="67"/>
      <c r="V5" s="65"/>
      <c r="W5" s="65"/>
      <c r="X5" s="65"/>
      <c r="Y5" s="65"/>
    </row>
    <row r="6" spans="1:29">
      <c r="A6" s="186" t="s">
        <v>412</v>
      </c>
      <c r="B6" s="187" t="s">
        <v>413</v>
      </c>
      <c r="C6" s="82" t="s">
        <v>414</v>
      </c>
      <c r="D6" s="70" t="s">
        <v>414</v>
      </c>
      <c r="E6" s="71"/>
      <c r="F6" s="65"/>
      <c r="G6" s="73"/>
      <c r="H6" s="72"/>
      <c r="I6" s="83" t="s">
        <v>415</v>
      </c>
      <c r="J6" s="65"/>
      <c r="K6" s="65"/>
      <c r="L6" s="70" t="s">
        <v>416</v>
      </c>
      <c r="M6" s="71"/>
      <c r="N6" s="65"/>
      <c r="O6" s="65"/>
      <c r="P6" s="65"/>
      <c r="Q6" s="65" t="s">
        <v>416</v>
      </c>
      <c r="R6" s="65"/>
      <c r="S6" s="65"/>
      <c r="T6" s="65"/>
      <c r="U6" s="67"/>
      <c r="V6" s="65"/>
      <c r="W6" s="65"/>
      <c r="X6" s="65"/>
      <c r="Y6" s="65"/>
    </row>
    <row r="7" spans="1:29">
      <c r="A7" s="206"/>
      <c r="B7" s="205"/>
      <c r="C7" s="84" t="s">
        <v>417</v>
      </c>
      <c r="D7" s="70" t="s">
        <v>417</v>
      </c>
      <c r="E7" s="71"/>
      <c r="F7" s="65"/>
      <c r="G7" s="73"/>
      <c r="H7" s="72"/>
      <c r="I7" s="83" t="s">
        <v>418</v>
      </c>
      <c r="J7" s="65"/>
      <c r="K7" s="65"/>
      <c r="L7" s="75" t="s">
        <v>419</v>
      </c>
      <c r="M7" s="71"/>
      <c r="N7" s="65"/>
      <c r="O7" s="65"/>
      <c r="P7" s="65"/>
      <c r="Q7" s="65"/>
      <c r="R7" s="65"/>
      <c r="S7" s="65"/>
      <c r="T7" s="65"/>
      <c r="U7" s="67"/>
      <c r="V7" s="65"/>
      <c r="W7" s="65"/>
      <c r="X7" s="65"/>
      <c r="Y7" s="65"/>
    </row>
    <row r="8" spans="1:29">
      <c r="A8" s="206"/>
      <c r="B8" s="205"/>
      <c r="C8" s="85"/>
      <c r="D8" s="72"/>
      <c r="E8" s="71"/>
      <c r="F8" s="65"/>
      <c r="G8" s="73"/>
      <c r="H8" s="72"/>
      <c r="I8" s="83" t="s">
        <v>420</v>
      </c>
      <c r="J8" s="65"/>
      <c r="K8" s="65"/>
      <c r="L8" s="75"/>
      <c r="M8" s="71"/>
      <c r="N8" s="65"/>
      <c r="O8" s="65"/>
      <c r="P8" s="65"/>
      <c r="Q8" s="65"/>
      <c r="R8" s="65"/>
      <c r="S8" s="65"/>
      <c r="T8" s="65"/>
      <c r="U8" s="67"/>
      <c r="V8" s="65"/>
      <c r="W8" s="65"/>
      <c r="X8" s="65"/>
      <c r="Y8" s="65"/>
    </row>
    <row r="9" spans="1:29">
      <c r="A9" s="210"/>
      <c r="B9" s="209"/>
      <c r="C9" s="85"/>
      <c r="D9" s="72"/>
      <c r="E9" s="71"/>
      <c r="F9" s="65"/>
      <c r="G9" s="73"/>
      <c r="H9" s="72"/>
      <c r="I9" s="83" t="s">
        <v>421</v>
      </c>
      <c r="J9" s="65"/>
      <c r="K9" s="65"/>
      <c r="L9" s="75"/>
      <c r="M9" s="71"/>
      <c r="N9" s="65"/>
      <c r="O9" s="65"/>
      <c r="P9" s="65"/>
      <c r="Q9" s="65"/>
      <c r="R9" s="65"/>
      <c r="S9" s="65"/>
      <c r="T9" s="65"/>
      <c r="U9" s="67"/>
      <c r="V9" s="65"/>
      <c r="W9" s="65"/>
      <c r="X9" s="65"/>
      <c r="Y9" s="65"/>
    </row>
    <row r="10" spans="1:29" ht="38.25">
      <c r="A10" s="86" t="s">
        <v>422</v>
      </c>
      <c r="B10" s="63" t="s">
        <v>423</v>
      </c>
      <c r="C10" s="65"/>
      <c r="D10" s="87"/>
      <c r="E10" s="65"/>
      <c r="F10" s="65"/>
      <c r="G10" s="73"/>
      <c r="H10" s="75"/>
      <c r="I10" s="71"/>
      <c r="J10" s="65"/>
      <c r="K10" s="65"/>
      <c r="L10" s="87"/>
      <c r="M10" s="65"/>
      <c r="N10" s="65"/>
      <c r="O10" s="65"/>
      <c r="P10" s="65"/>
      <c r="Q10" s="65"/>
      <c r="R10" s="65"/>
      <c r="S10" s="65"/>
      <c r="T10" s="65"/>
      <c r="U10" s="67"/>
      <c r="V10" s="65"/>
      <c r="W10" s="65"/>
      <c r="X10" s="65"/>
      <c r="Y10" s="65"/>
    </row>
    <row r="11" spans="1:29" ht="24" customHeight="1">
      <c r="A11" s="188"/>
      <c r="B11" s="204"/>
      <c r="C11" s="204"/>
      <c r="D11" s="204"/>
      <c r="E11" s="204"/>
      <c r="F11" s="204"/>
      <c r="G11" s="204"/>
      <c r="H11" s="204"/>
      <c r="I11" s="204"/>
      <c r="J11" s="204"/>
      <c r="K11" s="204"/>
      <c r="L11" s="204"/>
      <c r="M11" s="204"/>
      <c r="N11" s="204"/>
      <c r="O11" s="204"/>
      <c r="P11" s="204"/>
      <c r="Q11" s="204"/>
      <c r="R11" s="204"/>
      <c r="S11" s="204"/>
      <c r="T11" s="204"/>
      <c r="U11" s="204"/>
      <c r="V11" s="204"/>
      <c r="W11" s="204"/>
      <c r="X11" s="204"/>
      <c r="Y11" s="204"/>
      <c r="Z11" s="204"/>
      <c r="AA11" s="204"/>
      <c r="AB11" s="204"/>
      <c r="AC11" s="204"/>
    </row>
    <row r="12" spans="1:29" ht="24" customHeight="1">
      <c r="A12" s="2" t="s">
        <v>424</v>
      </c>
      <c r="B12" s="180" t="s">
        <v>425</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c r="Z12" s="9"/>
      <c r="AA12" s="9"/>
      <c r="AB12" s="9"/>
      <c r="AC12" s="9"/>
    </row>
    <row r="13" spans="1:29" ht="24" customHeight="1">
      <c r="A13" s="2" t="s">
        <v>426</v>
      </c>
      <c r="B13" s="180"/>
      <c r="C13" s="211"/>
      <c r="D13" s="211"/>
      <c r="E13" s="211"/>
      <c r="F13" s="211"/>
      <c r="G13" s="211"/>
      <c r="H13" s="211"/>
      <c r="I13" s="211"/>
      <c r="J13" s="211"/>
      <c r="K13" s="211"/>
      <c r="L13" s="211"/>
      <c r="M13" s="211"/>
      <c r="N13" s="211"/>
      <c r="O13" s="211"/>
      <c r="P13" s="211"/>
      <c r="Q13" s="211"/>
      <c r="R13" s="211"/>
      <c r="S13" s="211"/>
      <c r="T13" s="211"/>
      <c r="U13" s="211"/>
      <c r="V13" s="211"/>
      <c r="W13" s="211"/>
      <c r="X13" s="211"/>
      <c r="Y13" s="200"/>
      <c r="Z13" s="9"/>
      <c r="AA13" s="9"/>
      <c r="AB13" s="9"/>
      <c r="AC13" s="9"/>
    </row>
    <row r="14" spans="1:29" ht="24" customHeight="1">
      <c r="A14" s="2" t="s">
        <v>427</v>
      </c>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c r="Z14" s="9"/>
      <c r="AA14" s="9"/>
      <c r="AB14" s="9"/>
      <c r="AC14" s="9"/>
    </row>
    <row r="15" spans="1:29">
      <c r="A15" s="2" t="s">
        <v>103</v>
      </c>
      <c r="B15" s="180" t="s">
        <v>280</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t="s">
        <v>281</v>
      </c>
      <c r="B16" s="181" t="s">
        <v>282</v>
      </c>
      <c r="C16" s="208"/>
      <c r="D16" s="208"/>
      <c r="E16" s="208"/>
      <c r="F16" s="208"/>
      <c r="G16" s="208"/>
      <c r="H16" s="208"/>
      <c r="I16" s="208"/>
      <c r="J16" s="208"/>
      <c r="K16" s="208"/>
      <c r="L16" s="208"/>
      <c r="M16" s="208"/>
      <c r="N16" s="208"/>
      <c r="O16" s="208"/>
      <c r="P16" s="208"/>
      <c r="Q16" s="208"/>
      <c r="R16" s="208"/>
      <c r="S16" s="208"/>
      <c r="T16" s="208"/>
      <c r="U16" s="208"/>
      <c r="V16" s="208"/>
      <c r="W16" s="208"/>
      <c r="X16" s="208"/>
      <c r="Y16" s="209"/>
    </row>
    <row r="17" spans="1:25">
      <c r="A17" s="2" t="s">
        <v>283</v>
      </c>
      <c r="B17" s="180" t="s">
        <v>284</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row r="18" spans="1:25">
      <c r="A18" s="2" t="s">
        <v>285</v>
      </c>
      <c r="B18" s="180" t="s">
        <v>286</v>
      </c>
      <c r="C18" s="211"/>
      <c r="D18" s="211"/>
      <c r="E18" s="211"/>
      <c r="F18" s="211"/>
      <c r="G18" s="211"/>
      <c r="H18" s="211"/>
      <c r="I18" s="211"/>
      <c r="J18" s="211"/>
      <c r="K18" s="211"/>
      <c r="L18" s="211"/>
      <c r="M18" s="211"/>
      <c r="N18" s="211"/>
      <c r="O18" s="211"/>
      <c r="P18" s="211"/>
      <c r="Q18" s="211"/>
      <c r="R18" s="211"/>
      <c r="S18" s="211"/>
      <c r="T18" s="211"/>
      <c r="U18" s="211"/>
      <c r="V18" s="211"/>
      <c r="W18" s="211"/>
      <c r="X18" s="211"/>
      <c r="Y18" s="200"/>
    </row>
    <row r="19" spans="1:25">
      <c r="A19" s="2" t="s">
        <v>287</v>
      </c>
      <c r="B19" s="180" t="s">
        <v>288</v>
      </c>
      <c r="C19" s="211"/>
      <c r="D19" s="211"/>
      <c r="E19" s="211"/>
      <c r="F19" s="211"/>
      <c r="G19" s="211"/>
      <c r="H19" s="211"/>
      <c r="I19" s="211"/>
      <c r="J19" s="211"/>
      <c r="K19" s="211"/>
      <c r="L19" s="211"/>
      <c r="M19" s="211"/>
      <c r="N19" s="211"/>
      <c r="O19" s="211"/>
      <c r="P19" s="211"/>
      <c r="Q19" s="211"/>
      <c r="R19" s="211"/>
      <c r="S19" s="211"/>
      <c r="T19" s="211"/>
      <c r="U19" s="211"/>
      <c r="V19" s="211"/>
      <c r="W19" s="211"/>
      <c r="X19" s="211"/>
      <c r="Y19" s="200"/>
    </row>
    <row r="20" spans="1:25">
      <c r="A20" s="2" t="s">
        <v>289</v>
      </c>
      <c r="B20" s="180" t="s">
        <v>290</v>
      </c>
      <c r="C20" s="211"/>
      <c r="D20" s="211"/>
      <c r="E20" s="211"/>
      <c r="F20" s="211"/>
      <c r="G20" s="211"/>
      <c r="H20" s="211"/>
      <c r="I20" s="211"/>
      <c r="J20" s="211"/>
      <c r="K20" s="211"/>
      <c r="L20" s="211"/>
      <c r="M20" s="211"/>
      <c r="N20" s="211"/>
      <c r="O20" s="211"/>
      <c r="P20" s="211"/>
      <c r="Q20" s="211"/>
      <c r="R20" s="211"/>
      <c r="S20" s="211"/>
      <c r="T20" s="211"/>
      <c r="U20" s="211"/>
      <c r="V20" s="211"/>
      <c r="W20" s="211"/>
      <c r="X20" s="211"/>
      <c r="Y20" s="200"/>
    </row>
    <row r="21" spans="1:25">
      <c r="A21" s="2" t="s">
        <v>291</v>
      </c>
      <c r="B21" s="180" t="s">
        <v>292</v>
      </c>
      <c r="C21" s="211"/>
      <c r="D21" s="211"/>
      <c r="E21" s="211"/>
      <c r="F21" s="211"/>
      <c r="G21" s="211"/>
      <c r="H21" s="211"/>
      <c r="I21" s="211"/>
      <c r="J21" s="211"/>
      <c r="K21" s="211"/>
      <c r="L21" s="211"/>
      <c r="M21" s="211"/>
      <c r="N21" s="211"/>
      <c r="O21" s="211"/>
      <c r="P21" s="211"/>
      <c r="Q21" s="211"/>
      <c r="R21" s="211"/>
      <c r="S21" s="211"/>
      <c r="T21" s="211"/>
      <c r="U21" s="211"/>
      <c r="V21" s="211"/>
      <c r="W21" s="211"/>
      <c r="X21" s="211"/>
      <c r="Y21" s="200"/>
    </row>
    <row r="22" spans="1:25">
      <c r="A22" s="2" t="s">
        <v>293</v>
      </c>
      <c r="B22" s="180" t="s">
        <v>294</v>
      </c>
      <c r="C22" s="211"/>
      <c r="D22" s="211"/>
      <c r="E22" s="211"/>
      <c r="F22" s="211"/>
      <c r="G22" s="211"/>
      <c r="H22" s="211"/>
      <c r="I22" s="211"/>
      <c r="J22" s="211"/>
      <c r="K22" s="211"/>
      <c r="L22" s="211"/>
      <c r="M22" s="211"/>
      <c r="N22" s="211"/>
      <c r="O22" s="211"/>
      <c r="P22" s="211"/>
      <c r="Q22" s="211"/>
      <c r="R22" s="211"/>
      <c r="S22" s="211"/>
      <c r="T22" s="211"/>
      <c r="U22" s="211"/>
      <c r="V22" s="211"/>
      <c r="W22" s="211"/>
      <c r="X22" s="211"/>
      <c r="Y22" s="200"/>
    </row>
    <row r="23" spans="1:25">
      <c r="A23" s="2" t="s">
        <v>295</v>
      </c>
      <c r="B23" s="180" t="s">
        <v>296</v>
      </c>
      <c r="C23" s="211"/>
      <c r="D23" s="211"/>
      <c r="E23" s="211"/>
      <c r="F23" s="211"/>
      <c r="G23" s="211"/>
      <c r="H23" s="211"/>
      <c r="I23" s="211"/>
      <c r="J23" s="211"/>
      <c r="K23" s="211"/>
      <c r="L23" s="211"/>
      <c r="M23" s="211"/>
      <c r="N23" s="211"/>
      <c r="O23" s="211"/>
      <c r="P23" s="211"/>
      <c r="Q23" s="211"/>
      <c r="R23" s="211"/>
      <c r="S23" s="211"/>
      <c r="T23" s="211"/>
      <c r="U23" s="211"/>
      <c r="V23" s="211"/>
      <c r="W23" s="211"/>
      <c r="X23" s="211"/>
      <c r="Y23" s="200"/>
    </row>
    <row r="24" spans="1:25" ht="19.5" customHeight="1">
      <c r="A24" s="2"/>
      <c r="B24" s="180"/>
      <c r="C24" s="211"/>
      <c r="D24" s="211"/>
      <c r="E24" s="211"/>
      <c r="F24" s="211"/>
      <c r="G24" s="211"/>
      <c r="H24" s="211"/>
      <c r="I24" s="211"/>
      <c r="J24" s="211"/>
      <c r="K24" s="211"/>
      <c r="L24" s="211"/>
      <c r="M24" s="211"/>
      <c r="N24" s="211"/>
      <c r="O24" s="211"/>
      <c r="P24" s="211"/>
      <c r="Q24" s="211"/>
      <c r="R24" s="211"/>
      <c r="S24" s="211"/>
      <c r="T24" s="211"/>
      <c r="U24" s="211"/>
      <c r="V24" s="211"/>
      <c r="W24" s="211"/>
      <c r="X24" s="211"/>
      <c r="Y24" s="200"/>
    </row>
  </sheetData>
  <mergeCells count="17">
    <mergeCell ref="B13:Y13"/>
    <mergeCell ref="B14:Y14"/>
    <mergeCell ref="B22:Y22"/>
    <mergeCell ref="B23:Y23"/>
    <mergeCell ref="B24:Y24"/>
    <mergeCell ref="B15:Y15"/>
    <mergeCell ref="B16:Y16"/>
    <mergeCell ref="B17:Y17"/>
    <mergeCell ref="B18:Y18"/>
    <mergeCell ref="B19:Y19"/>
    <mergeCell ref="B20:Y20"/>
    <mergeCell ref="B21:Y21"/>
    <mergeCell ref="AA1:AC2"/>
    <mergeCell ref="A6:A9"/>
    <mergeCell ref="B6:B9"/>
    <mergeCell ref="A11:AC11"/>
    <mergeCell ref="B12:Y1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14"/>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7.2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75"/>
      <c r="O2" s="75"/>
      <c r="P2" s="75"/>
      <c r="Q2" s="75"/>
      <c r="R2" s="75"/>
      <c r="S2" s="75"/>
      <c r="T2" s="75"/>
      <c r="U2" s="75"/>
      <c r="V2" s="71"/>
      <c r="W2" s="65"/>
      <c r="X2" s="65"/>
      <c r="Y2" s="65"/>
      <c r="AA2" s="207"/>
      <c r="AB2" s="208"/>
      <c r="AC2" s="209"/>
    </row>
    <row r="3" spans="1:29" ht="51">
      <c r="A3" s="68" t="s">
        <v>402</v>
      </c>
      <c r="B3" s="63" t="s">
        <v>403</v>
      </c>
      <c r="C3" s="65"/>
      <c r="D3" s="65"/>
      <c r="E3" s="65" t="s">
        <v>429</v>
      </c>
      <c r="F3" s="65"/>
      <c r="G3" s="65"/>
      <c r="H3" s="65" t="s">
        <v>429</v>
      </c>
      <c r="I3" s="65"/>
      <c r="J3" s="65"/>
      <c r="K3" s="65"/>
      <c r="L3" s="65" t="s">
        <v>430</v>
      </c>
      <c r="M3" s="65"/>
      <c r="N3" s="75"/>
      <c r="O3" s="75"/>
      <c r="P3" s="75" t="s">
        <v>429</v>
      </c>
      <c r="Q3" s="75" t="s">
        <v>429</v>
      </c>
      <c r="R3" s="75"/>
      <c r="S3" s="75"/>
      <c r="T3" s="75"/>
      <c r="U3" s="75"/>
      <c r="V3" s="71"/>
      <c r="W3" s="65"/>
      <c r="X3" s="65"/>
      <c r="Y3" s="65"/>
    </row>
    <row r="4" spans="1:29" ht="63.75">
      <c r="A4" s="68" t="s">
        <v>406</v>
      </c>
      <c r="B4" s="63" t="s">
        <v>407</v>
      </c>
      <c r="C4" s="65"/>
      <c r="D4" s="66"/>
      <c r="E4" s="65"/>
      <c r="F4" s="65"/>
      <c r="G4" s="65"/>
      <c r="H4" s="65"/>
      <c r="I4" s="65"/>
      <c r="J4" s="65"/>
      <c r="K4" s="79"/>
      <c r="L4" s="79"/>
      <c r="M4" s="65"/>
      <c r="N4" s="75"/>
      <c r="O4" s="75"/>
      <c r="P4" s="75"/>
      <c r="Q4" s="75"/>
      <c r="R4" s="75"/>
      <c r="S4" s="75"/>
      <c r="T4" s="75"/>
      <c r="U4" s="75"/>
      <c r="V4" s="71"/>
      <c r="W4" s="65"/>
      <c r="X4" s="65"/>
      <c r="Y4" s="65"/>
    </row>
    <row r="5" spans="1:29" ht="51">
      <c r="A5" s="68" t="s">
        <v>410</v>
      </c>
      <c r="B5" s="63" t="s">
        <v>411</v>
      </c>
      <c r="C5" s="73"/>
      <c r="D5" s="79"/>
      <c r="E5" s="71"/>
      <c r="F5" s="65"/>
      <c r="G5" s="65"/>
      <c r="H5" s="65"/>
      <c r="I5" s="65"/>
      <c r="J5" s="65"/>
      <c r="K5" s="65"/>
      <c r="L5" s="65"/>
      <c r="M5" s="65"/>
      <c r="N5" s="75"/>
      <c r="O5" s="75"/>
      <c r="P5" s="75"/>
      <c r="Q5" s="75"/>
      <c r="R5" s="75"/>
      <c r="S5" s="75"/>
      <c r="T5" s="75"/>
      <c r="U5" s="75"/>
      <c r="V5" s="71"/>
      <c r="W5" s="65"/>
      <c r="X5" s="65"/>
      <c r="Y5" s="65"/>
    </row>
    <row r="6" spans="1:29" ht="51">
      <c r="A6" s="88" t="s">
        <v>412</v>
      </c>
      <c r="B6" s="89" t="s">
        <v>431</v>
      </c>
      <c r="C6" s="71"/>
      <c r="D6" s="87"/>
      <c r="E6" s="65" t="s">
        <v>432</v>
      </c>
      <c r="F6" s="65"/>
      <c r="G6" s="65"/>
      <c r="H6" s="65"/>
      <c r="I6" s="65" t="s">
        <v>432</v>
      </c>
      <c r="J6" s="65"/>
      <c r="K6" s="65"/>
      <c r="L6" s="65"/>
      <c r="M6" s="65"/>
      <c r="N6" s="75"/>
      <c r="O6" s="75"/>
      <c r="P6" s="75" t="s">
        <v>432</v>
      </c>
      <c r="Q6" s="75" t="s">
        <v>432</v>
      </c>
      <c r="R6" s="75"/>
      <c r="S6" s="75"/>
      <c r="T6" s="75"/>
      <c r="U6" s="75"/>
      <c r="V6" s="71"/>
      <c r="W6" s="65"/>
      <c r="X6" s="65"/>
      <c r="Y6" s="65"/>
    </row>
    <row r="7" spans="1:29" ht="51">
      <c r="A7" s="68" t="s">
        <v>422</v>
      </c>
      <c r="B7" s="90" t="s">
        <v>423</v>
      </c>
      <c r="C7" s="65"/>
      <c r="D7" s="65"/>
      <c r="E7" s="65"/>
      <c r="F7" s="65"/>
      <c r="G7" s="65"/>
      <c r="H7" s="65"/>
      <c r="I7" s="65"/>
      <c r="J7" s="65"/>
      <c r="K7" s="65"/>
      <c r="L7" s="65"/>
      <c r="M7" s="65"/>
      <c r="N7" s="75"/>
      <c r="O7" s="75"/>
      <c r="P7" s="75"/>
      <c r="Q7" s="75"/>
      <c r="R7" s="75"/>
      <c r="S7" s="75"/>
      <c r="T7" s="75"/>
      <c r="U7" s="75"/>
      <c r="V7" s="71"/>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433</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426</v>
      </c>
      <c r="B10" s="180" t="s">
        <v>434</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427</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t="s">
        <v>297</v>
      </c>
      <c r="B12" s="180" t="s">
        <v>298</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t="s">
        <v>299</v>
      </c>
      <c r="B13" s="180" t="s">
        <v>300</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46"/>
      <c r="B14" s="181"/>
      <c r="C14" s="208"/>
      <c r="D14" s="208"/>
      <c r="E14" s="208"/>
      <c r="F14" s="208"/>
      <c r="G14" s="208"/>
      <c r="H14" s="208"/>
      <c r="I14" s="208"/>
      <c r="J14" s="208"/>
      <c r="K14" s="208"/>
      <c r="L14" s="208"/>
      <c r="M14" s="208"/>
      <c r="N14" s="208"/>
      <c r="O14" s="208"/>
      <c r="P14" s="208"/>
      <c r="Q14" s="208"/>
      <c r="R14" s="208"/>
      <c r="S14" s="208"/>
      <c r="T14" s="208"/>
      <c r="U14" s="208"/>
      <c r="V14" s="208"/>
      <c r="W14" s="208"/>
      <c r="X14" s="208"/>
      <c r="Y14" s="209"/>
    </row>
  </sheetData>
  <mergeCells count="8">
    <mergeCell ref="B12:Y12"/>
    <mergeCell ref="B13:Y13"/>
    <mergeCell ref="B14:Y14"/>
    <mergeCell ref="AA1:AC2"/>
    <mergeCell ref="A8:AC8"/>
    <mergeCell ref="B9:Y9"/>
    <mergeCell ref="B10:Y10"/>
    <mergeCell ref="B11:Y11"/>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C15"/>
  <sheetViews>
    <sheetView workbookViewId="0"/>
  </sheetViews>
  <sheetFormatPr defaultColWidth="12.5703125" defaultRowHeight="15" customHeight="1"/>
  <cols>
    <col min="1" max="1" width="23.42578125" customWidth="1"/>
    <col min="2" max="25" width="19.7109375" customWidth="1"/>
    <col min="26" max="29" width="8.85546875" customWidth="1"/>
  </cols>
  <sheetData>
    <row r="1" spans="1:29" ht="129.75" customHeight="1">
      <c r="A1" s="51" t="s">
        <v>373</v>
      </c>
      <c r="B1" s="91" t="s">
        <v>374</v>
      </c>
      <c r="C1" s="80" t="s">
        <v>375</v>
      </c>
      <c r="D1" s="55" t="s">
        <v>376</v>
      </c>
      <c r="E1" s="92" t="s">
        <v>377</v>
      </c>
      <c r="F1" s="92"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73"/>
      <c r="E2" s="70" t="s">
        <v>435</v>
      </c>
      <c r="F2" s="75"/>
      <c r="G2" s="71"/>
      <c r="H2" s="65"/>
      <c r="I2" s="65"/>
      <c r="J2" s="65" t="s">
        <v>436</v>
      </c>
      <c r="K2" s="65"/>
      <c r="L2" s="65"/>
      <c r="M2" s="65"/>
      <c r="N2" s="65"/>
      <c r="O2" s="65"/>
      <c r="P2" s="65"/>
      <c r="Q2" s="65"/>
      <c r="R2" s="65"/>
      <c r="S2" s="65"/>
      <c r="T2" s="65"/>
      <c r="U2" s="67"/>
      <c r="V2" s="65"/>
      <c r="W2" s="65"/>
      <c r="X2" s="65"/>
      <c r="Y2" s="65"/>
      <c r="AA2" s="207"/>
      <c r="AB2" s="208"/>
      <c r="AC2" s="209"/>
    </row>
    <row r="3" spans="1:29" ht="25.5">
      <c r="A3" s="189" t="s">
        <v>402</v>
      </c>
      <c r="B3" s="190" t="s">
        <v>403</v>
      </c>
      <c r="C3" s="65"/>
      <c r="D3" s="75"/>
      <c r="E3" s="75" t="s">
        <v>437</v>
      </c>
      <c r="F3" s="75"/>
      <c r="G3" s="71"/>
      <c r="H3" s="65"/>
      <c r="I3" s="65"/>
      <c r="J3" s="65" t="s">
        <v>438</v>
      </c>
      <c r="K3" s="65"/>
      <c r="L3" s="65"/>
      <c r="M3" s="65"/>
      <c r="N3" s="65"/>
      <c r="O3" s="65" t="s">
        <v>439</v>
      </c>
      <c r="P3" s="65"/>
      <c r="Q3" s="65" t="s">
        <v>439</v>
      </c>
      <c r="R3" s="65"/>
      <c r="S3" s="65"/>
      <c r="T3" s="65"/>
      <c r="U3" s="67"/>
      <c r="V3" s="65"/>
      <c r="W3" s="65"/>
      <c r="X3" s="65"/>
      <c r="Y3" s="65"/>
    </row>
    <row r="4" spans="1:29">
      <c r="A4" s="210"/>
      <c r="B4" s="212"/>
      <c r="C4" s="65"/>
      <c r="D4" s="75"/>
      <c r="E4" s="75" t="s">
        <v>440</v>
      </c>
      <c r="F4" s="75"/>
      <c r="G4" s="71"/>
      <c r="H4" s="65"/>
      <c r="I4" s="65"/>
      <c r="J4" s="65"/>
      <c r="K4" s="78"/>
      <c r="L4" s="78"/>
      <c r="M4" s="65"/>
      <c r="N4" s="65"/>
      <c r="O4" s="65"/>
      <c r="P4" s="65"/>
      <c r="Q4" s="65"/>
      <c r="R4" s="65"/>
      <c r="S4" s="65"/>
      <c r="T4" s="65"/>
      <c r="U4" s="67"/>
      <c r="V4" s="65"/>
      <c r="W4" s="65"/>
      <c r="X4" s="65"/>
      <c r="Y4" s="65"/>
    </row>
    <row r="5" spans="1:29" ht="63.75">
      <c r="A5" s="68" t="s">
        <v>406</v>
      </c>
      <c r="B5" s="63" t="s">
        <v>407</v>
      </c>
      <c r="C5" s="65"/>
      <c r="D5" s="75"/>
      <c r="E5" s="75"/>
      <c r="F5" s="75"/>
      <c r="G5" s="71"/>
      <c r="H5" s="65"/>
      <c r="I5" s="65"/>
      <c r="J5" s="65"/>
      <c r="K5" s="79"/>
      <c r="L5" s="79"/>
      <c r="M5" s="65"/>
      <c r="N5" s="65"/>
      <c r="O5" s="65"/>
      <c r="P5" s="65"/>
      <c r="Q5" s="65"/>
      <c r="R5" s="65"/>
      <c r="S5" s="65"/>
      <c r="T5" s="65"/>
      <c r="U5" s="67"/>
      <c r="V5" s="65"/>
      <c r="W5" s="65"/>
      <c r="X5" s="65"/>
      <c r="Y5" s="65"/>
    </row>
    <row r="6" spans="1:29" ht="51">
      <c r="A6" s="68" t="s">
        <v>410</v>
      </c>
      <c r="B6" s="63" t="s">
        <v>411</v>
      </c>
      <c r="C6" s="73"/>
      <c r="D6" s="94"/>
      <c r="E6" s="75"/>
      <c r="F6" s="75"/>
      <c r="G6" s="71"/>
      <c r="H6" s="65"/>
      <c r="I6" s="65"/>
      <c r="J6" s="65"/>
      <c r="K6" s="65"/>
      <c r="L6" s="65"/>
      <c r="M6" s="65"/>
      <c r="N6" s="65"/>
      <c r="O6" s="65"/>
      <c r="P6" s="65"/>
      <c r="Q6" s="65"/>
      <c r="R6" s="65"/>
      <c r="S6" s="65"/>
      <c r="T6" s="65"/>
      <c r="U6" s="67"/>
      <c r="V6" s="65"/>
      <c r="W6" s="65"/>
      <c r="X6" s="65"/>
      <c r="Y6" s="65"/>
    </row>
    <row r="7" spans="1:29" ht="51">
      <c r="A7" s="95" t="s">
        <v>412</v>
      </c>
      <c r="B7" s="96" t="s">
        <v>431</v>
      </c>
      <c r="C7" s="65"/>
      <c r="D7" s="97"/>
      <c r="E7" s="70"/>
      <c r="F7" s="75"/>
      <c r="G7" s="71"/>
      <c r="H7" s="65"/>
      <c r="I7" s="65"/>
      <c r="J7" s="65"/>
      <c r="K7" s="65"/>
      <c r="L7" s="65"/>
      <c r="M7" s="65"/>
      <c r="N7" s="65"/>
      <c r="O7" s="65"/>
      <c r="P7" s="65"/>
      <c r="Q7" s="65"/>
      <c r="R7" s="65"/>
      <c r="S7" s="65"/>
      <c r="T7" s="65"/>
      <c r="U7" s="67"/>
      <c r="V7" s="65"/>
      <c r="W7" s="65"/>
      <c r="X7" s="65"/>
      <c r="Y7" s="65"/>
    </row>
    <row r="8" spans="1:29" ht="38.25">
      <c r="A8" s="86" t="s">
        <v>422</v>
      </c>
      <c r="B8" s="63" t="s">
        <v>423</v>
      </c>
      <c r="C8" s="65"/>
      <c r="D8" s="73"/>
      <c r="E8" s="75"/>
      <c r="F8" s="75"/>
      <c r="G8" s="71"/>
      <c r="H8" s="65"/>
      <c r="I8" s="65"/>
      <c r="J8" s="65"/>
      <c r="K8" s="65"/>
      <c r="L8" s="65"/>
      <c r="M8" s="65"/>
      <c r="N8" s="65"/>
      <c r="O8" s="65"/>
      <c r="P8" s="65"/>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ht="24" customHeight="1">
      <c r="A10" s="2" t="s">
        <v>424</v>
      </c>
      <c r="B10" s="180" t="s">
        <v>441</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c r="Z10" s="9"/>
      <c r="AA10" s="9"/>
      <c r="AB10" s="9"/>
      <c r="AC10" s="9"/>
    </row>
    <row r="11" spans="1:29" ht="24" customHeight="1">
      <c r="A11" s="2" t="s">
        <v>426</v>
      </c>
      <c r="B11" s="180" t="s">
        <v>442</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c r="Z11" s="9"/>
      <c r="AA11" s="9"/>
      <c r="AB11" s="9"/>
      <c r="AC11" s="9"/>
    </row>
    <row r="12" spans="1:29" ht="24" customHeight="1">
      <c r="A12" s="2" t="s">
        <v>427</v>
      </c>
      <c r="B12" s="180"/>
      <c r="C12" s="211"/>
      <c r="D12" s="211"/>
      <c r="E12" s="211"/>
      <c r="F12" s="211"/>
      <c r="G12" s="211"/>
      <c r="H12" s="211"/>
      <c r="I12" s="211"/>
      <c r="J12" s="211"/>
      <c r="K12" s="211"/>
      <c r="L12" s="211"/>
      <c r="M12" s="211"/>
      <c r="N12" s="211"/>
      <c r="O12" s="211"/>
      <c r="P12" s="211"/>
      <c r="Q12" s="211"/>
      <c r="R12" s="211"/>
      <c r="S12" s="211"/>
      <c r="T12" s="211"/>
      <c r="U12" s="211"/>
      <c r="V12" s="211"/>
      <c r="W12" s="211"/>
      <c r="X12" s="211"/>
      <c r="Y12" s="200"/>
      <c r="Z12" s="9"/>
      <c r="AA12" s="9"/>
      <c r="AB12" s="9"/>
      <c r="AC12" s="9"/>
    </row>
    <row r="13" spans="1:29" ht="16.5" customHeight="1">
      <c r="A13" s="2" t="s">
        <v>301</v>
      </c>
      <c r="B13" s="180" t="s">
        <v>302</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21.75" customHeight="1">
      <c r="A14" s="2" t="s">
        <v>303</v>
      </c>
      <c r="B14" s="181" t="s">
        <v>304</v>
      </c>
      <c r="C14" s="208"/>
      <c r="D14" s="208"/>
      <c r="E14" s="208"/>
      <c r="F14" s="208"/>
      <c r="G14" s="208"/>
      <c r="H14" s="208"/>
      <c r="I14" s="208"/>
      <c r="J14" s="208"/>
      <c r="K14" s="208"/>
      <c r="L14" s="208"/>
      <c r="M14" s="208"/>
      <c r="N14" s="208"/>
      <c r="O14" s="208"/>
      <c r="P14" s="208"/>
      <c r="Q14" s="208"/>
      <c r="R14" s="208"/>
      <c r="S14" s="208"/>
      <c r="T14" s="208"/>
      <c r="U14" s="208"/>
      <c r="V14" s="208"/>
      <c r="W14" s="208"/>
      <c r="X14" s="208"/>
      <c r="Y14" s="209"/>
    </row>
    <row r="15" spans="1:29">
      <c r="A15" s="79"/>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sheetData>
  <mergeCells count="10">
    <mergeCell ref="B13:Y13"/>
    <mergeCell ref="B14:Y14"/>
    <mergeCell ref="B15:Y15"/>
    <mergeCell ref="AA1:AC2"/>
    <mergeCell ref="A3:A4"/>
    <mergeCell ref="B3:B4"/>
    <mergeCell ref="A9:AC9"/>
    <mergeCell ref="B10:Y10"/>
    <mergeCell ref="B11:Y11"/>
    <mergeCell ref="B12:Y12"/>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5"/>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37.25" customHeight="1">
      <c r="A1" s="51" t="s">
        <v>373</v>
      </c>
      <c r="B1" s="98" t="s">
        <v>374</v>
      </c>
      <c r="C1" s="80" t="s">
        <v>375</v>
      </c>
      <c r="D1" s="55" t="s">
        <v>376</v>
      </c>
      <c r="E1" s="55" t="s">
        <v>377</v>
      </c>
      <c r="F1" s="55" t="s">
        <v>378</v>
      </c>
      <c r="G1" s="55" t="s">
        <v>379</v>
      </c>
      <c r="H1" s="55" t="s">
        <v>380</v>
      </c>
      <c r="I1" s="92" t="s">
        <v>381</v>
      </c>
      <c r="J1" s="99"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6"/>
      <c r="D2" s="65"/>
      <c r="E2" s="65"/>
      <c r="F2" s="65"/>
      <c r="G2" s="65"/>
      <c r="H2" s="100"/>
      <c r="I2" s="75"/>
      <c r="J2" s="75"/>
      <c r="K2" s="71"/>
      <c r="L2" s="65"/>
      <c r="M2" s="65"/>
      <c r="N2" s="65"/>
      <c r="O2" s="65"/>
      <c r="P2" s="65"/>
      <c r="Q2" s="65"/>
      <c r="R2" s="65"/>
      <c r="S2" s="65"/>
      <c r="T2" s="65"/>
      <c r="U2" s="67"/>
      <c r="V2" s="65"/>
      <c r="W2" s="65"/>
      <c r="X2" s="65"/>
      <c r="Y2" s="65"/>
      <c r="AA2" s="207"/>
      <c r="AB2" s="208"/>
      <c r="AC2" s="209"/>
    </row>
    <row r="3" spans="1:29" ht="51">
      <c r="A3" s="68" t="s">
        <v>402</v>
      </c>
      <c r="B3" s="63" t="s">
        <v>403</v>
      </c>
      <c r="C3" s="72"/>
      <c r="D3" s="71"/>
      <c r="E3" s="72"/>
      <c r="F3" s="65"/>
      <c r="G3" s="73"/>
      <c r="H3" s="43"/>
      <c r="I3" s="75"/>
      <c r="J3" s="75" t="s">
        <v>443</v>
      </c>
      <c r="K3" s="71"/>
      <c r="L3" s="65"/>
      <c r="M3" s="65"/>
      <c r="N3" s="65" t="s">
        <v>444</v>
      </c>
      <c r="O3" s="65"/>
      <c r="P3" s="65"/>
      <c r="Q3" s="65" t="s">
        <v>444</v>
      </c>
      <c r="R3" s="65"/>
      <c r="S3" s="65"/>
      <c r="T3" s="65"/>
      <c r="U3" s="67"/>
      <c r="V3" s="65"/>
      <c r="W3" s="65"/>
      <c r="X3" s="65"/>
      <c r="Y3" s="65"/>
    </row>
    <row r="4" spans="1:29" ht="63.75">
      <c r="A4" s="68" t="s">
        <v>406</v>
      </c>
      <c r="B4" s="63" t="s">
        <v>407</v>
      </c>
      <c r="C4" s="87"/>
      <c r="D4" s="66"/>
      <c r="E4" s="65"/>
      <c r="F4" s="65"/>
      <c r="G4" s="73"/>
      <c r="H4" s="43"/>
      <c r="I4" s="75"/>
      <c r="J4" s="75"/>
      <c r="K4" s="101"/>
      <c r="L4" s="79"/>
      <c r="M4" s="65"/>
      <c r="N4" s="65"/>
      <c r="O4" s="65"/>
      <c r="P4" s="65"/>
      <c r="Q4" s="65"/>
      <c r="R4" s="65"/>
      <c r="S4" s="65"/>
      <c r="T4" s="65"/>
      <c r="U4" s="67"/>
      <c r="V4" s="65"/>
      <c r="W4" s="65"/>
      <c r="X4" s="65"/>
      <c r="Y4" s="65"/>
    </row>
    <row r="5" spans="1:29" ht="51">
      <c r="A5" s="68" t="s">
        <v>410</v>
      </c>
      <c r="B5" s="63" t="s">
        <v>411</v>
      </c>
      <c r="C5" s="73"/>
      <c r="D5" s="79"/>
      <c r="E5" s="71"/>
      <c r="F5" s="65"/>
      <c r="G5" s="73"/>
      <c r="H5" s="75"/>
      <c r="I5" s="78"/>
      <c r="J5" s="87"/>
      <c r="K5" s="43"/>
      <c r="L5" s="72"/>
      <c r="M5" s="71"/>
      <c r="N5" s="65"/>
      <c r="O5" s="65"/>
      <c r="P5" s="65"/>
      <c r="Q5" s="65"/>
      <c r="R5" s="65"/>
      <c r="S5" s="65"/>
      <c r="T5" s="65"/>
      <c r="U5" s="67"/>
      <c r="V5" s="65"/>
      <c r="W5" s="65"/>
      <c r="X5" s="65"/>
      <c r="Y5" s="65"/>
    </row>
    <row r="6" spans="1:29" ht="51">
      <c r="A6" s="88" t="s">
        <v>412</v>
      </c>
      <c r="B6" s="89" t="s">
        <v>431</v>
      </c>
      <c r="C6" s="71"/>
      <c r="D6" s="87"/>
      <c r="E6" s="65"/>
      <c r="F6" s="65"/>
      <c r="G6" s="73"/>
      <c r="H6" s="72"/>
      <c r="I6" s="71"/>
      <c r="J6" s="65" t="s">
        <v>443</v>
      </c>
      <c r="K6" s="65"/>
      <c r="L6" s="87" t="s">
        <v>445</v>
      </c>
      <c r="M6" s="65" t="s">
        <v>445</v>
      </c>
      <c r="N6" s="65"/>
      <c r="O6" s="65"/>
      <c r="P6" s="65"/>
      <c r="Q6" s="65"/>
      <c r="R6" s="65"/>
      <c r="S6" s="65"/>
      <c r="T6" s="65"/>
      <c r="U6" s="67"/>
      <c r="V6" s="65"/>
      <c r="W6" s="65"/>
      <c r="X6" s="65"/>
      <c r="Y6" s="65"/>
    </row>
    <row r="7" spans="1:29" ht="51">
      <c r="A7" s="68" t="s">
        <v>422</v>
      </c>
      <c r="B7" s="90" t="s">
        <v>423</v>
      </c>
      <c r="C7" s="65"/>
      <c r="D7" s="65"/>
      <c r="E7" s="65"/>
      <c r="F7" s="65"/>
      <c r="G7" s="73"/>
      <c r="H7" s="75"/>
      <c r="I7" s="71"/>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ht="24" customHeight="1">
      <c r="A9" s="2" t="s">
        <v>424</v>
      </c>
      <c r="B9" s="180" t="s">
        <v>446</v>
      </c>
      <c r="C9" s="211"/>
      <c r="D9" s="211"/>
      <c r="E9" s="211"/>
      <c r="F9" s="211"/>
      <c r="G9" s="211"/>
      <c r="H9" s="211"/>
      <c r="I9" s="211"/>
      <c r="J9" s="211"/>
      <c r="K9" s="211"/>
      <c r="L9" s="211"/>
      <c r="M9" s="211"/>
      <c r="N9" s="211"/>
      <c r="O9" s="211"/>
      <c r="P9" s="211"/>
      <c r="Q9" s="211"/>
      <c r="R9" s="211"/>
      <c r="S9" s="211"/>
      <c r="T9" s="211"/>
      <c r="U9" s="211"/>
      <c r="V9" s="211"/>
      <c r="W9" s="211"/>
      <c r="X9" s="211"/>
      <c r="Y9" s="200"/>
      <c r="Z9" s="9"/>
      <c r="AA9" s="9"/>
      <c r="AB9" s="9"/>
      <c r="AC9" s="9"/>
    </row>
    <row r="10" spans="1:29" ht="24" customHeight="1">
      <c r="A10" s="2" t="s">
        <v>426</v>
      </c>
      <c r="B10" s="180" t="s">
        <v>447</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c r="Z10" s="9"/>
      <c r="AA10" s="9"/>
      <c r="AB10" s="9"/>
      <c r="AC10" s="9"/>
    </row>
    <row r="11" spans="1:29" ht="24" customHeight="1">
      <c r="A11" s="2" t="s">
        <v>427</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c r="Z11" s="9"/>
      <c r="AA11" s="9"/>
      <c r="AB11" s="9"/>
      <c r="AC11" s="9"/>
    </row>
    <row r="12" spans="1:29" ht="33" customHeight="1">
      <c r="A12" s="2" t="s">
        <v>305</v>
      </c>
      <c r="B12" s="180" t="s">
        <v>306</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c r="B13" s="181"/>
      <c r="C13" s="208"/>
      <c r="D13" s="208"/>
      <c r="E13" s="208"/>
      <c r="F13" s="208"/>
      <c r="G13" s="208"/>
      <c r="H13" s="208"/>
      <c r="I13" s="208"/>
      <c r="J13" s="208"/>
      <c r="K13" s="208"/>
      <c r="L13" s="208"/>
      <c r="M13" s="208"/>
      <c r="N13" s="208"/>
      <c r="O13" s="208"/>
      <c r="P13" s="208"/>
      <c r="Q13" s="208"/>
      <c r="R13" s="208"/>
      <c r="S13" s="208"/>
      <c r="T13" s="208"/>
      <c r="U13" s="208"/>
      <c r="V13" s="208"/>
      <c r="W13" s="208"/>
      <c r="X13" s="208"/>
      <c r="Y13" s="209"/>
    </row>
    <row r="14" spans="1:29">
      <c r="A14" s="2"/>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sheetData>
  <mergeCells count="9">
    <mergeCell ref="B14:Y14"/>
    <mergeCell ref="B15:Y15"/>
    <mergeCell ref="AA1:AC2"/>
    <mergeCell ref="A8:AC8"/>
    <mergeCell ref="B9:Y9"/>
    <mergeCell ref="B10:Y10"/>
    <mergeCell ref="B11:Y11"/>
    <mergeCell ref="B12:Y12"/>
    <mergeCell ref="B13:Y13"/>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31.25" customHeight="1">
      <c r="A1" s="51" t="s">
        <v>373</v>
      </c>
      <c r="B1" s="77" t="s">
        <v>374</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6"/>
      <c r="D2" s="65"/>
      <c r="E2" s="65"/>
      <c r="F2" s="65"/>
      <c r="G2" s="65"/>
      <c r="H2" s="66"/>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72"/>
      <c r="D3" s="71"/>
      <c r="E3" s="72"/>
      <c r="F3" s="65"/>
      <c r="G3" s="73"/>
      <c r="H3" s="72"/>
      <c r="I3" s="71"/>
      <c r="J3" s="65"/>
      <c r="K3" s="65"/>
      <c r="L3" s="65"/>
      <c r="M3" s="65"/>
      <c r="N3" s="65"/>
      <c r="O3" s="65"/>
      <c r="P3" s="65"/>
      <c r="Q3" s="65"/>
      <c r="R3" s="65"/>
      <c r="S3" s="65"/>
      <c r="T3" s="65"/>
      <c r="U3" s="67"/>
      <c r="V3" s="65"/>
      <c r="W3" s="65"/>
      <c r="X3" s="65"/>
      <c r="Y3" s="65"/>
    </row>
    <row r="4" spans="1:29" ht="63.75">
      <c r="A4" s="68" t="s">
        <v>406</v>
      </c>
      <c r="B4" s="63" t="s">
        <v>407</v>
      </c>
      <c r="C4" s="87"/>
      <c r="D4" s="66"/>
      <c r="E4" s="66"/>
      <c r="F4" s="66"/>
      <c r="G4" s="100"/>
      <c r="H4" s="102"/>
      <c r="I4" s="74"/>
      <c r="J4" s="66"/>
      <c r="K4" s="103"/>
      <c r="L4" s="103"/>
      <c r="M4" s="65"/>
      <c r="N4" s="65"/>
      <c r="O4" s="65"/>
      <c r="P4" s="65"/>
      <c r="Q4" s="65"/>
      <c r="R4" s="65"/>
      <c r="S4" s="65"/>
      <c r="T4" s="65"/>
      <c r="U4" s="67"/>
      <c r="V4" s="65"/>
      <c r="W4" s="65"/>
      <c r="X4" s="65"/>
      <c r="Y4" s="65"/>
    </row>
    <row r="5" spans="1:29" ht="51">
      <c r="A5" s="68" t="s">
        <v>410</v>
      </c>
      <c r="B5" s="93" t="s">
        <v>411</v>
      </c>
      <c r="C5" s="73"/>
      <c r="D5" s="79"/>
      <c r="E5" s="75"/>
      <c r="F5" s="75"/>
      <c r="G5" s="75"/>
      <c r="H5" s="75"/>
      <c r="I5" s="75"/>
      <c r="J5" s="75"/>
      <c r="K5" s="72"/>
      <c r="L5" s="70" t="s">
        <v>448</v>
      </c>
      <c r="M5" s="71"/>
      <c r="N5" s="65"/>
      <c r="O5" s="65"/>
      <c r="P5" s="65"/>
      <c r="Q5" s="65"/>
      <c r="R5" s="65"/>
      <c r="S5" s="65"/>
      <c r="T5" s="65"/>
      <c r="U5" s="67"/>
      <c r="V5" s="65"/>
      <c r="W5" s="65"/>
      <c r="X5" s="65"/>
      <c r="Y5" s="65"/>
    </row>
    <row r="6" spans="1:29" ht="51">
      <c r="A6" s="88" t="s">
        <v>412</v>
      </c>
      <c r="B6" s="89" t="s">
        <v>431</v>
      </c>
      <c r="C6" s="104"/>
      <c r="D6" s="70" t="s">
        <v>448</v>
      </c>
      <c r="E6" s="75"/>
      <c r="F6" s="75"/>
      <c r="G6" s="75"/>
      <c r="H6" s="72"/>
      <c r="I6" s="75"/>
      <c r="J6" s="75"/>
      <c r="K6" s="75"/>
      <c r="L6" s="75"/>
      <c r="M6" s="71"/>
      <c r="N6" s="65"/>
      <c r="O6" s="65"/>
      <c r="P6" s="65"/>
      <c r="Q6" s="65"/>
      <c r="R6" s="65"/>
      <c r="S6" s="65"/>
      <c r="T6" s="65"/>
      <c r="U6" s="67"/>
      <c r="V6" s="65"/>
      <c r="W6" s="65"/>
      <c r="X6" s="65"/>
      <c r="Y6" s="65"/>
    </row>
    <row r="7" spans="1:29" ht="51">
      <c r="A7" s="68" t="s">
        <v>422</v>
      </c>
      <c r="B7" s="90" t="s">
        <v>423</v>
      </c>
      <c r="C7" s="65"/>
      <c r="D7" s="87"/>
      <c r="E7" s="87"/>
      <c r="F7" s="87"/>
      <c r="G7" s="97"/>
      <c r="H7" s="105"/>
      <c r="I7" s="78"/>
      <c r="J7" s="87"/>
      <c r="K7" s="87"/>
      <c r="L7" s="87"/>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ht="24" customHeight="1">
      <c r="A9" s="2" t="s">
        <v>424</v>
      </c>
      <c r="B9" s="191" t="s">
        <v>449</v>
      </c>
      <c r="C9" s="211"/>
      <c r="D9" s="211"/>
      <c r="E9" s="211"/>
      <c r="F9" s="211"/>
      <c r="G9" s="211"/>
      <c r="H9" s="211"/>
      <c r="I9" s="211"/>
      <c r="J9" s="211"/>
      <c r="K9" s="211"/>
      <c r="L9" s="211"/>
      <c r="M9" s="211"/>
      <c r="N9" s="211"/>
      <c r="O9" s="211"/>
      <c r="P9" s="211"/>
      <c r="Q9" s="211"/>
      <c r="R9" s="211"/>
      <c r="S9" s="211"/>
      <c r="T9" s="211"/>
      <c r="U9" s="211"/>
      <c r="V9" s="211"/>
      <c r="W9" s="211"/>
      <c r="X9" s="211"/>
      <c r="Y9" s="200"/>
      <c r="Z9" s="9"/>
      <c r="AA9" s="9"/>
      <c r="AB9" s="9"/>
      <c r="AC9" s="9"/>
    </row>
    <row r="10" spans="1:29" ht="24" customHeight="1">
      <c r="A10" s="2" t="s">
        <v>426</v>
      </c>
      <c r="B10" s="180" t="s">
        <v>450</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c r="Z10" s="9"/>
      <c r="AA10" s="9"/>
      <c r="AB10" s="9"/>
      <c r="AC10" s="9"/>
    </row>
    <row r="11" spans="1:29" ht="24" customHeight="1">
      <c r="A11" s="2" t="s">
        <v>427</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c r="Z11" s="9"/>
      <c r="AA11" s="9"/>
      <c r="AB11" s="9"/>
      <c r="AC11" s="9"/>
    </row>
    <row r="12" spans="1:29">
      <c r="A12" s="2" t="s">
        <v>307</v>
      </c>
      <c r="B12" s="180" t="s">
        <v>308</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c r="B13" s="181"/>
      <c r="C13" s="208"/>
      <c r="D13" s="208"/>
      <c r="E13" s="208"/>
      <c r="F13" s="208"/>
      <c r="G13" s="208"/>
      <c r="H13" s="208"/>
      <c r="I13" s="208"/>
      <c r="J13" s="208"/>
      <c r="K13" s="208"/>
      <c r="L13" s="208"/>
      <c r="M13" s="208"/>
      <c r="N13" s="208"/>
      <c r="O13" s="208"/>
      <c r="P13" s="208"/>
      <c r="Q13" s="208"/>
      <c r="R13" s="208"/>
      <c r="S13" s="208"/>
      <c r="T13" s="208"/>
      <c r="U13" s="208"/>
      <c r="V13" s="208"/>
      <c r="W13" s="208"/>
      <c r="X13" s="208"/>
      <c r="Y13" s="209"/>
    </row>
    <row r="14" spans="1:29">
      <c r="A14" s="2"/>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sheetData>
  <mergeCells count="9">
    <mergeCell ref="B14:Y14"/>
    <mergeCell ref="B15:Y15"/>
    <mergeCell ref="AA1:AC2"/>
    <mergeCell ref="A8:AC8"/>
    <mergeCell ref="B9:Y9"/>
    <mergeCell ref="B10:Y10"/>
    <mergeCell ref="B11:Y11"/>
    <mergeCell ref="B12:Y12"/>
    <mergeCell ref="B13:Y13"/>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21"/>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11.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c r="A3" s="189" t="s">
        <v>402</v>
      </c>
      <c r="B3" s="190" t="s">
        <v>403</v>
      </c>
      <c r="C3" s="70" t="s">
        <v>451</v>
      </c>
      <c r="D3" s="65"/>
      <c r="E3" s="65"/>
      <c r="F3" s="70" t="s">
        <v>451</v>
      </c>
      <c r="G3" s="65"/>
      <c r="H3" s="70"/>
      <c r="I3" s="65"/>
      <c r="J3" s="65"/>
      <c r="K3" s="65"/>
      <c r="L3" s="70"/>
      <c r="M3" s="65"/>
      <c r="N3" s="65"/>
      <c r="O3" s="65"/>
      <c r="P3" s="65"/>
      <c r="Q3" s="70" t="s">
        <v>452</v>
      </c>
      <c r="R3" s="65"/>
      <c r="S3" s="65"/>
      <c r="T3" s="65"/>
      <c r="U3" s="67"/>
      <c r="V3" s="65"/>
      <c r="W3" s="65"/>
      <c r="X3" s="65"/>
      <c r="Y3" s="65"/>
    </row>
    <row r="4" spans="1:29">
      <c r="A4" s="206"/>
      <c r="B4" s="213"/>
      <c r="C4" s="78"/>
      <c r="D4" s="78"/>
      <c r="E4" s="71"/>
      <c r="F4" s="70" t="s">
        <v>453</v>
      </c>
      <c r="G4" s="65"/>
      <c r="H4" s="106"/>
      <c r="I4" s="65"/>
      <c r="J4" s="65"/>
      <c r="K4" s="78"/>
      <c r="L4" s="70"/>
      <c r="M4" s="65"/>
      <c r="N4" s="65"/>
      <c r="O4" s="65"/>
      <c r="P4" s="65"/>
      <c r="Q4" s="106"/>
      <c r="R4" s="65"/>
      <c r="S4" s="65"/>
      <c r="T4" s="65"/>
      <c r="U4" s="67"/>
      <c r="V4" s="65"/>
      <c r="W4" s="65"/>
      <c r="X4" s="65"/>
      <c r="Y4" s="65"/>
    </row>
    <row r="5" spans="1:29">
      <c r="A5" s="206"/>
      <c r="B5" s="213"/>
      <c r="C5" s="78"/>
      <c r="D5" s="78"/>
      <c r="E5" s="71"/>
      <c r="F5" s="70" t="s">
        <v>454</v>
      </c>
      <c r="G5" s="65"/>
      <c r="H5" s="106"/>
      <c r="I5" s="65"/>
      <c r="J5" s="65"/>
      <c r="K5" s="78"/>
      <c r="L5" s="70"/>
      <c r="M5" s="65"/>
      <c r="N5" s="65"/>
      <c r="O5" s="65"/>
      <c r="P5" s="65"/>
      <c r="Q5" s="106"/>
      <c r="R5" s="65"/>
      <c r="S5" s="65"/>
      <c r="T5" s="65"/>
      <c r="U5" s="67"/>
      <c r="V5" s="65"/>
      <c r="W5" s="65"/>
      <c r="X5" s="65"/>
      <c r="Y5" s="65"/>
    </row>
    <row r="6" spans="1:29">
      <c r="A6" s="210"/>
      <c r="B6" s="212"/>
      <c r="C6" s="78"/>
      <c r="D6" s="78"/>
      <c r="E6" s="71"/>
      <c r="F6" s="65"/>
      <c r="G6" s="65"/>
      <c r="H6" s="106"/>
      <c r="I6" s="65"/>
      <c r="J6" s="65"/>
      <c r="K6" s="78"/>
      <c r="L6" s="70"/>
      <c r="M6" s="65"/>
      <c r="N6" s="65"/>
      <c r="O6" s="65"/>
      <c r="P6" s="65"/>
      <c r="Q6" s="106"/>
      <c r="R6" s="65"/>
      <c r="S6" s="65"/>
      <c r="T6" s="65"/>
      <c r="U6" s="67"/>
      <c r="V6" s="65"/>
      <c r="W6" s="65"/>
      <c r="X6" s="65"/>
      <c r="Y6" s="65"/>
    </row>
    <row r="7" spans="1:29">
      <c r="A7" s="189" t="s">
        <v>406</v>
      </c>
      <c r="B7" s="190" t="s">
        <v>407</v>
      </c>
      <c r="C7" s="75"/>
      <c r="D7" s="75"/>
      <c r="E7" s="71"/>
      <c r="F7" s="70" t="s">
        <v>455</v>
      </c>
      <c r="G7" s="65"/>
      <c r="H7" s="78"/>
      <c r="I7" s="65"/>
      <c r="J7" s="65"/>
      <c r="K7" s="107"/>
      <c r="L7" s="79"/>
      <c r="M7" s="65"/>
      <c r="N7" s="65"/>
      <c r="O7" s="70" t="s">
        <v>456</v>
      </c>
      <c r="P7" s="65"/>
      <c r="Q7" s="78"/>
      <c r="R7" s="65"/>
      <c r="S7" s="65"/>
      <c r="T7" s="65"/>
      <c r="U7" s="67"/>
      <c r="V7" s="65"/>
      <c r="W7" s="65"/>
      <c r="X7" s="65"/>
      <c r="Y7" s="65"/>
    </row>
    <row r="8" spans="1:29">
      <c r="A8" s="206"/>
      <c r="B8" s="213"/>
      <c r="C8" s="75"/>
      <c r="D8" s="75"/>
      <c r="E8" s="71"/>
      <c r="F8" s="65"/>
      <c r="G8" s="70"/>
      <c r="H8" s="78"/>
      <c r="I8" s="65"/>
      <c r="J8" s="65"/>
      <c r="K8" s="107"/>
      <c r="L8" s="79"/>
      <c r="M8" s="65"/>
      <c r="N8" s="65"/>
      <c r="O8" s="65"/>
      <c r="P8" s="65"/>
      <c r="Q8" s="78"/>
      <c r="R8" s="65"/>
      <c r="S8" s="65"/>
      <c r="T8" s="65"/>
      <c r="U8" s="67"/>
      <c r="V8" s="65"/>
      <c r="W8" s="65"/>
      <c r="X8" s="65"/>
      <c r="Y8" s="65"/>
    </row>
    <row r="9" spans="1:29">
      <c r="A9" s="210"/>
      <c r="B9" s="212"/>
      <c r="C9" s="75"/>
      <c r="D9" s="75"/>
      <c r="E9" s="71"/>
      <c r="F9" s="65"/>
      <c r="G9" s="65"/>
      <c r="H9" s="65"/>
      <c r="I9" s="65"/>
      <c r="J9" s="65"/>
      <c r="K9" s="79"/>
      <c r="L9" s="79"/>
      <c r="M9" s="65"/>
      <c r="N9" s="65"/>
      <c r="O9" s="65"/>
      <c r="P9" s="65"/>
      <c r="Q9" s="65"/>
      <c r="R9" s="65"/>
      <c r="S9" s="65"/>
      <c r="T9" s="65"/>
      <c r="U9" s="67"/>
      <c r="V9" s="65"/>
      <c r="W9" s="65"/>
      <c r="X9" s="65"/>
      <c r="Y9" s="65"/>
    </row>
    <row r="10" spans="1:29" ht="51">
      <c r="A10" s="68" t="s">
        <v>410</v>
      </c>
      <c r="B10" s="63" t="s">
        <v>411</v>
      </c>
      <c r="C10" s="75"/>
      <c r="D10" s="79"/>
      <c r="E10" s="71"/>
      <c r="F10" s="70" t="s">
        <v>455</v>
      </c>
      <c r="G10" s="65"/>
      <c r="H10" s="65"/>
      <c r="I10" s="65"/>
      <c r="J10" s="65"/>
      <c r="K10" s="65"/>
      <c r="L10" s="65"/>
      <c r="M10" s="65"/>
      <c r="N10" s="65"/>
      <c r="O10" s="65"/>
      <c r="P10" s="65"/>
      <c r="Q10" s="65"/>
      <c r="R10" s="65"/>
      <c r="S10" s="65"/>
      <c r="T10" s="65"/>
      <c r="U10" s="67"/>
      <c r="V10" s="65"/>
      <c r="W10" s="65"/>
      <c r="X10" s="65"/>
      <c r="Y10" s="65"/>
    </row>
    <row r="11" spans="1:29" ht="51">
      <c r="A11" s="95" t="s">
        <v>412</v>
      </c>
      <c r="B11" s="96" t="s">
        <v>431</v>
      </c>
      <c r="C11" s="87"/>
      <c r="D11" s="87"/>
      <c r="E11" s="65"/>
      <c r="F11" s="65"/>
      <c r="G11" s="65"/>
      <c r="H11" s="65"/>
      <c r="I11" s="65"/>
      <c r="J11" s="65"/>
      <c r="K11" s="65"/>
      <c r="L11" s="65"/>
      <c r="M11" s="65"/>
      <c r="N11" s="65"/>
      <c r="O11" s="65"/>
      <c r="P11" s="65"/>
      <c r="Q11" s="65"/>
      <c r="R11" s="65"/>
      <c r="S11" s="65"/>
      <c r="T11" s="65"/>
      <c r="U11" s="67"/>
      <c r="V11" s="65"/>
      <c r="W11" s="65"/>
      <c r="X11" s="65"/>
      <c r="Y11" s="65"/>
    </row>
    <row r="12" spans="1:29">
      <c r="A12" s="192" t="s">
        <v>422</v>
      </c>
      <c r="B12" s="190" t="s">
        <v>423</v>
      </c>
      <c r="C12" s="65"/>
      <c r="D12" s="65"/>
      <c r="E12" s="65"/>
      <c r="F12" s="70" t="s">
        <v>457</v>
      </c>
      <c r="G12" s="65"/>
      <c r="H12" s="65"/>
      <c r="I12" s="65"/>
      <c r="J12" s="65"/>
      <c r="K12" s="65"/>
      <c r="L12" s="65"/>
      <c r="M12" s="65"/>
      <c r="N12" s="65"/>
      <c r="O12" s="70"/>
      <c r="P12" s="70" t="s">
        <v>458</v>
      </c>
      <c r="Q12" s="65" t="s">
        <v>457</v>
      </c>
      <c r="R12" s="65"/>
      <c r="S12" s="65"/>
      <c r="T12" s="65"/>
      <c r="U12" s="67"/>
      <c r="V12" s="65"/>
      <c r="W12" s="65"/>
      <c r="X12" s="65"/>
      <c r="Y12" s="65"/>
    </row>
    <row r="13" spans="1:29">
      <c r="A13" s="210"/>
      <c r="B13" s="212"/>
      <c r="C13" s="75"/>
      <c r="D13" s="75"/>
      <c r="E13" s="75"/>
      <c r="F13" s="70" t="s">
        <v>459</v>
      </c>
      <c r="G13" s="75"/>
      <c r="H13" s="75"/>
      <c r="I13" s="75"/>
      <c r="J13" s="75"/>
      <c r="K13" s="75"/>
      <c r="L13" s="75"/>
      <c r="M13" s="75"/>
      <c r="N13" s="75"/>
      <c r="O13" s="70"/>
      <c r="P13" s="70"/>
      <c r="Q13" s="75" t="s">
        <v>458</v>
      </c>
      <c r="R13" s="75"/>
      <c r="S13" s="75"/>
      <c r="T13" s="75"/>
      <c r="U13" s="75"/>
      <c r="V13" s="75"/>
      <c r="W13" s="75"/>
      <c r="X13" s="75"/>
      <c r="Y13" s="75"/>
    </row>
    <row r="14" spans="1:29" ht="24" customHeight="1">
      <c r="A14" s="188"/>
      <c r="B14" s="204"/>
      <c r="C14" s="204"/>
      <c r="D14" s="204"/>
      <c r="E14" s="204"/>
      <c r="F14" s="204"/>
      <c r="G14" s="204"/>
      <c r="H14" s="204"/>
      <c r="I14" s="204"/>
      <c r="J14" s="204"/>
      <c r="K14" s="204"/>
      <c r="L14" s="204"/>
      <c r="M14" s="204"/>
      <c r="N14" s="204"/>
      <c r="O14" s="204"/>
      <c r="P14" s="204"/>
      <c r="Q14" s="204"/>
      <c r="R14" s="204"/>
      <c r="S14" s="204"/>
      <c r="T14" s="204"/>
      <c r="U14" s="204"/>
      <c r="V14" s="204"/>
      <c r="W14" s="204"/>
      <c r="X14" s="204"/>
      <c r="Y14" s="204"/>
      <c r="Z14" s="204"/>
      <c r="AA14" s="204"/>
      <c r="AB14" s="204"/>
      <c r="AC14" s="204"/>
    </row>
    <row r="15" spans="1:29">
      <c r="A15" s="2" t="s">
        <v>424</v>
      </c>
      <c r="B15" s="191" t="s">
        <v>460</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t="s">
        <v>461</v>
      </c>
      <c r="B16" s="180"/>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ht="28.5">
      <c r="A17" s="2" t="s">
        <v>462</v>
      </c>
      <c r="B17" s="14"/>
      <c r="C17" s="108"/>
      <c r="D17" s="108"/>
      <c r="E17" s="108"/>
      <c r="F17" s="108"/>
      <c r="G17" s="108"/>
      <c r="H17" s="108"/>
      <c r="I17" s="108"/>
      <c r="J17" s="108"/>
      <c r="K17" s="108"/>
      <c r="L17" s="108"/>
      <c r="M17" s="108"/>
      <c r="N17" s="108"/>
      <c r="O17" s="108"/>
      <c r="P17" s="108"/>
      <c r="Q17" s="108"/>
      <c r="R17" s="108"/>
      <c r="S17" s="108"/>
      <c r="T17" s="108"/>
      <c r="U17" s="108"/>
      <c r="V17" s="108"/>
      <c r="W17" s="108"/>
      <c r="X17" s="108"/>
      <c r="Y17" s="109"/>
    </row>
    <row r="18" spans="1:25" ht="20.25" customHeight="1">
      <c r="A18" s="2" t="s">
        <v>309</v>
      </c>
      <c r="B18" s="182" t="s">
        <v>310</v>
      </c>
      <c r="C18" s="211"/>
      <c r="D18" s="211"/>
      <c r="E18" s="211"/>
      <c r="F18" s="211"/>
      <c r="G18" s="211"/>
      <c r="H18" s="211"/>
      <c r="I18" s="211"/>
      <c r="J18" s="211"/>
      <c r="K18" s="211"/>
      <c r="L18" s="211"/>
      <c r="M18" s="211"/>
      <c r="N18" s="211"/>
      <c r="O18" s="211"/>
      <c r="P18" s="211"/>
      <c r="Q18" s="211"/>
      <c r="R18" s="211"/>
      <c r="S18" s="211"/>
      <c r="T18" s="211"/>
      <c r="U18" s="211"/>
      <c r="V18" s="211"/>
      <c r="W18" s="211"/>
      <c r="X18" s="211"/>
      <c r="Y18" s="200"/>
    </row>
    <row r="19" spans="1:25">
      <c r="A19" s="44" t="s">
        <v>311</v>
      </c>
      <c r="B19" s="183" t="s">
        <v>312</v>
      </c>
      <c r="C19" s="211"/>
      <c r="D19" s="211"/>
      <c r="E19" s="211"/>
      <c r="F19" s="211"/>
      <c r="G19" s="211"/>
      <c r="H19" s="211"/>
      <c r="I19" s="211"/>
      <c r="J19" s="211"/>
      <c r="K19" s="211"/>
      <c r="L19" s="211"/>
      <c r="M19" s="211"/>
      <c r="N19" s="211"/>
      <c r="O19" s="211"/>
      <c r="P19" s="211"/>
      <c r="Q19" s="211"/>
      <c r="R19" s="211"/>
      <c r="S19" s="211"/>
      <c r="T19" s="211"/>
      <c r="U19" s="211"/>
      <c r="V19" s="211"/>
      <c r="W19" s="211"/>
      <c r="X19" s="211"/>
      <c r="Y19" s="200"/>
    </row>
    <row r="20" spans="1:25">
      <c r="A20" s="45" t="s">
        <v>313</v>
      </c>
      <c r="B20" s="184" t="s">
        <v>314</v>
      </c>
      <c r="C20" s="201"/>
      <c r="D20" s="201"/>
      <c r="E20" s="201"/>
      <c r="F20" s="201"/>
      <c r="G20" s="201"/>
      <c r="H20" s="201"/>
      <c r="I20" s="201"/>
      <c r="J20" s="201"/>
      <c r="K20" s="201"/>
      <c r="L20" s="201"/>
      <c r="M20" s="201"/>
      <c r="N20" s="201"/>
      <c r="O20" s="201"/>
      <c r="P20" s="201"/>
      <c r="Q20" s="201"/>
      <c r="R20" s="201"/>
      <c r="S20" s="201"/>
      <c r="T20" s="201"/>
      <c r="U20" s="201"/>
      <c r="V20" s="201"/>
      <c r="W20" s="201"/>
      <c r="X20" s="201"/>
      <c r="Y20" s="202"/>
    </row>
    <row r="21" spans="1:25" ht="30" customHeight="1">
      <c r="A21" s="44" t="s">
        <v>315</v>
      </c>
      <c r="B21" s="180" t="s">
        <v>316</v>
      </c>
      <c r="C21" s="211"/>
      <c r="D21" s="211"/>
      <c r="E21" s="211"/>
      <c r="F21" s="211"/>
      <c r="G21" s="211"/>
      <c r="H21" s="211"/>
      <c r="I21" s="211"/>
      <c r="J21" s="211"/>
      <c r="K21" s="211"/>
      <c r="L21" s="211"/>
      <c r="M21" s="211"/>
      <c r="N21" s="211"/>
      <c r="O21" s="211"/>
      <c r="P21" s="211"/>
      <c r="Q21" s="211"/>
      <c r="R21" s="211"/>
      <c r="S21" s="211"/>
      <c r="T21" s="211"/>
      <c r="U21" s="211"/>
      <c r="V21" s="211"/>
      <c r="W21" s="211"/>
      <c r="X21" s="211"/>
      <c r="Y21" s="200"/>
    </row>
  </sheetData>
  <mergeCells count="14">
    <mergeCell ref="B20:Y20"/>
    <mergeCell ref="B21:Y21"/>
    <mergeCell ref="AA1:AC2"/>
    <mergeCell ref="A3:A6"/>
    <mergeCell ref="B3:B6"/>
    <mergeCell ref="A7:A9"/>
    <mergeCell ref="B7:B9"/>
    <mergeCell ref="A12:A13"/>
    <mergeCell ref="B12:B13"/>
    <mergeCell ref="A14:AC14"/>
    <mergeCell ref="B15:Y15"/>
    <mergeCell ref="B16:Y16"/>
    <mergeCell ref="B18:Y18"/>
    <mergeCell ref="B19:Y19"/>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C21"/>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8" customHeight="1">
      <c r="A1" s="51" t="s">
        <v>373</v>
      </c>
      <c r="B1" s="98"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5"/>
      <c r="D2" s="65"/>
      <c r="E2" s="65"/>
      <c r="F2" s="66"/>
      <c r="G2" s="66"/>
      <c r="H2" s="65"/>
      <c r="I2" s="65"/>
      <c r="J2" s="65"/>
      <c r="K2" s="65"/>
      <c r="L2" s="65"/>
      <c r="M2" s="65"/>
      <c r="N2" s="65"/>
      <c r="O2" s="65"/>
      <c r="P2" s="65"/>
      <c r="Q2" s="65"/>
      <c r="R2" s="65"/>
      <c r="S2" s="65"/>
      <c r="T2" s="65"/>
      <c r="U2" s="67"/>
      <c r="V2" s="65"/>
      <c r="W2" s="65"/>
      <c r="X2" s="65"/>
      <c r="Y2" s="65"/>
      <c r="AA2" s="207"/>
      <c r="AB2" s="208"/>
      <c r="AC2" s="209"/>
    </row>
    <row r="3" spans="1:29" ht="38.25" customHeight="1">
      <c r="A3" s="68" t="s">
        <v>402</v>
      </c>
      <c r="B3" s="63" t="s">
        <v>403</v>
      </c>
      <c r="C3" s="65"/>
      <c r="D3" s="75"/>
      <c r="E3" s="75"/>
      <c r="F3" s="72" t="s">
        <v>463</v>
      </c>
      <c r="G3" s="72" t="s">
        <v>463</v>
      </c>
      <c r="H3" s="75"/>
      <c r="I3" s="75"/>
      <c r="J3" s="75"/>
      <c r="K3" s="75"/>
      <c r="L3" s="71"/>
      <c r="M3" s="65"/>
      <c r="N3" s="65"/>
      <c r="O3" s="65" t="s">
        <v>463</v>
      </c>
      <c r="P3" s="65" t="s">
        <v>463</v>
      </c>
      <c r="Q3" s="65"/>
      <c r="R3" s="65"/>
      <c r="S3" s="65"/>
      <c r="T3" s="65"/>
      <c r="U3" s="67"/>
      <c r="V3" s="65"/>
      <c r="W3" s="65"/>
      <c r="X3" s="65"/>
      <c r="Y3" s="65"/>
    </row>
    <row r="4" spans="1:29">
      <c r="A4" s="189" t="s">
        <v>406</v>
      </c>
      <c r="B4" s="190" t="s">
        <v>407</v>
      </c>
      <c r="C4" s="65"/>
      <c r="D4" s="75"/>
      <c r="E4" s="75"/>
      <c r="F4" s="72" t="s">
        <v>463</v>
      </c>
      <c r="G4" s="72" t="s">
        <v>463</v>
      </c>
      <c r="H4" s="75"/>
      <c r="I4" s="75" t="s">
        <v>464</v>
      </c>
      <c r="J4" s="75"/>
      <c r="K4" s="75"/>
      <c r="L4" s="71"/>
      <c r="M4" s="65"/>
      <c r="N4" s="65"/>
      <c r="O4" s="71"/>
      <c r="P4" s="65"/>
      <c r="Q4" s="65"/>
      <c r="R4" s="65"/>
      <c r="S4" s="65"/>
      <c r="T4" s="65"/>
      <c r="U4" s="67"/>
      <c r="V4" s="65"/>
      <c r="W4" s="65"/>
      <c r="X4" s="65"/>
      <c r="Y4" s="65"/>
    </row>
    <row r="5" spans="1:29" ht="28.5">
      <c r="A5" s="206"/>
      <c r="B5" s="213"/>
      <c r="C5" s="73"/>
      <c r="D5" s="75"/>
      <c r="E5" s="75"/>
      <c r="F5" s="72"/>
      <c r="G5" s="72" t="s">
        <v>465</v>
      </c>
      <c r="H5" s="75"/>
      <c r="I5" s="75"/>
      <c r="J5" s="75"/>
      <c r="K5" s="79"/>
      <c r="L5" s="107"/>
      <c r="M5" s="65"/>
      <c r="N5" s="65"/>
      <c r="O5" s="65"/>
      <c r="P5" s="65"/>
      <c r="Q5" s="65"/>
      <c r="R5" s="65"/>
      <c r="S5" s="65"/>
      <c r="T5" s="65"/>
      <c r="U5" s="67"/>
      <c r="V5" s="65"/>
      <c r="W5" s="65"/>
      <c r="X5" s="65"/>
      <c r="Y5" s="65"/>
    </row>
    <row r="6" spans="1:29">
      <c r="A6" s="210"/>
      <c r="B6" s="212"/>
      <c r="C6" s="73"/>
      <c r="D6" s="75"/>
      <c r="E6" s="75"/>
      <c r="F6" s="72"/>
      <c r="G6" s="72" t="s">
        <v>466</v>
      </c>
      <c r="H6" s="75"/>
      <c r="I6" s="75"/>
      <c r="J6" s="75"/>
      <c r="K6" s="79"/>
      <c r="L6" s="107"/>
      <c r="M6" s="65"/>
      <c r="N6" s="65"/>
      <c r="O6" s="65"/>
      <c r="P6" s="65"/>
      <c r="Q6" s="65"/>
      <c r="R6" s="65"/>
      <c r="S6" s="65"/>
      <c r="T6" s="65"/>
      <c r="U6" s="67"/>
      <c r="V6" s="65"/>
      <c r="W6" s="65"/>
      <c r="X6" s="65"/>
      <c r="Y6" s="65"/>
    </row>
    <row r="7" spans="1:29" ht="51">
      <c r="A7" s="68" t="s">
        <v>410</v>
      </c>
      <c r="B7" s="63" t="s">
        <v>411</v>
      </c>
      <c r="C7" s="73"/>
      <c r="D7" s="79"/>
      <c r="E7" s="75"/>
      <c r="F7" s="75"/>
      <c r="G7" s="72" t="s">
        <v>467</v>
      </c>
      <c r="H7" s="75"/>
      <c r="I7" s="75"/>
      <c r="J7" s="72" t="s">
        <v>468</v>
      </c>
      <c r="K7" s="72" t="s">
        <v>468</v>
      </c>
      <c r="L7" s="72" t="s">
        <v>468</v>
      </c>
      <c r="M7" s="65"/>
      <c r="N7" s="65"/>
      <c r="O7" s="72" t="s">
        <v>468</v>
      </c>
      <c r="P7" s="65"/>
      <c r="Q7" s="65"/>
      <c r="R7" s="65"/>
      <c r="S7" s="65"/>
      <c r="T7" s="65"/>
      <c r="U7" s="67"/>
      <c r="V7" s="65"/>
      <c r="W7" s="65"/>
      <c r="X7" s="65"/>
      <c r="Y7" s="65"/>
    </row>
    <row r="8" spans="1:29" ht="51">
      <c r="A8" s="88" t="s">
        <v>412</v>
      </c>
      <c r="B8" s="89" t="s">
        <v>431</v>
      </c>
      <c r="C8" s="71"/>
      <c r="D8" s="87"/>
      <c r="E8" s="87"/>
      <c r="F8" s="87"/>
      <c r="G8" s="64"/>
      <c r="H8" s="64"/>
      <c r="I8" s="64"/>
      <c r="J8" s="64"/>
      <c r="K8" s="64"/>
      <c r="L8" s="66"/>
      <c r="M8" s="66"/>
      <c r="N8" s="66"/>
      <c r="O8" s="66"/>
      <c r="P8" s="66"/>
      <c r="Q8" s="66"/>
      <c r="R8" s="66"/>
      <c r="S8" s="65"/>
      <c r="T8" s="65"/>
      <c r="U8" s="67"/>
      <c r="V8" s="65"/>
      <c r="W8" s="65"/>
      <c r="X8" s="65"/>
      <c r="Y8" s="65"/>
    </row>
    <row r="9" spans="1:29" ht="51">
      <c r="A9" s="68" t="s">
        <v>422</v>
      </c>
      <c r="B9" s="90" t="s">
        <v>423</v>
      </c>
      <c r="C9" s="65"/>
      <c r="D9" s="65"/>
      <c r="E9" s="65"/>
      <c r="F9" s="43" t="s">
        <v>469</v>
      </c>
      <c r="G9" s="72" t="s">
        <v>469</v>
      </c>
      <c r="H9" s="75"/>
      <c r="I9" s="75"/>
      <c r="J9" s="75"/>
      <c r="K9" s="75"/>
      <c r="L9" s="75"/>
      <c r="M9" s="75"/>
      <c r="N9" s="75"/>
      <c r="O9" s="75"/>
      <c r="P9" s="75"/>
      <c r="Q9" s="72" t="s">
        <v>470</v>
      </c>
      <c r="R9" s="75"/>
      <c r="S9" s="71"/>
      <c r="T9" s="65"/>
      <c r="U9" s="67"/>
      <c r="V9" s="65"/>
      <c r="W9" s="65"/>
      <c r="X9" s="65"/>
      <c r="Y9" s="65"/>
    </row>
    <row r="10" spans="1:29" ht="24" customHeight="1">
      <c r="A10" s="188"/>
      <c r="B10" s="204"/>
      <c r="C10" s="204"/>
      <c r="D10" s="204"/>
      <c r="E10" s="204"/>
      <c r="F10" s="204"/>
      <c r="G10" s="204"/>
      <c r="H10" s="204"/>
      <c r="I10" s="204"/>
      <c r="J10" s="204"/>
      <c r="K10" s="204"/>
      <c r="L10" s="204"/>
      <c r="M10" s="204"/>
      <c r="N10" s="204"/>
      <c r="O10" s="204"/>
      <c r="P10" s="204"/>
      <c r="Q10" s="204"/>
      <c r="R10" s="204"/>
      <c r="S10" s="204"/>
      <c r="T10" s="204"/>
      <c r="U10" s="204"/>
      <c r="V10" s="204"/>
      <c r="W10" s="204"/>
      <c r="X10" s="204"/>
      <c r="Y10" s="204"/>
      <c r="Z10" s="204"/>
      <c r="AA10" s="204"/>
      <c r="AB10" s="204"/>
      <c r="AC10" s="204"/>
    </row>
    <row r="11" spans="1:29" ht="24" customHeight="1">
      <c r="A11" s="2" t="s">
        <v>424</v>
      </c>
      <c r="B11" s="191" t="s">
        <v>471</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c r="Z11" s="9"/>
      <c r="AA11" s="9"/>
      <c r="AB11" s="9"/>
      <c r="AC11" s="9"/>
    </row>
    <row r="12" spans="1:29" ht="24" customHeight="1">
      <c r="A12" s="2" t="s">
        <v>426</v>
      </c>
      <c r="B12" s="180" t="s">
        <v>472</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c r="Z12" s="9"/>
      <c r="AA12" s="9"/>
      <c r="AB12" s="9"/>
      <c r="AC12" s="9"/>
    </row>
    <row r="13" spans="1:29" ht="24" customHeight="1">
      <c r="A13" s="2" t="s">
        <v>427</v>
      </c>
      <c r="B13" s="180" t="s">
        <v>473</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c r="Z13" s="9"/>
      <c r="AA13" s="9"/>
      <c r="AB13" s="9"/>
      <c r="AC13" s="9"/>
    </row>
    <row r="14" spans="1:29">
      <c r="A14" s="2" t="s">
        <v>317</v>
      </c>
      <c r="B14" s="180" t="s">
        <v>318</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t="s">
        <v>319</v>
      </c>
      <c r="B15" s="181" t="s">
        <v>320</v>
      </c>
      <c r="C15" s="208"/>
      <c r="D15" s="208"/>
      <c r="E15" s="208"/>
      <c r="F15" s="208"/>
      <c r="G15" s="208"/>
      <c r="H15" s="208"/>
      <c r="I15" s="208"/>
      <c r="J15" s="208"/>
      <c r="K15" s="208"/>
      <c r="L15" s="208"/>
      <c r="M15" s="208"/>
      <c r="N15" s="208"/>
      <c r="O15" s="208"/>
      <c r="P15" s="208"/>
      <c r="Q15" s="208"/>
      <c r="R15" s="208"/>
      <c r="S15" s="208"/>
      <c r="T15" s="208"/>
      <c r="U15" s="208"/>
      <c r="V15" s="208"/>
      <c r="W15" s="208"/>
      <c r="X15" s="208"/>
      <c r="Y15" s="209"/>
    </row>
    <row r="16" spans="1:29">
      <c r="A16" s="2" t="s">
        <v>321</v>
      </c>
      <c r="B16" s="180" t="s">
        <v>322</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c r="A17" s="2" t="s">
        <v>323</v>
      </c>
      <c r="B17" s="180" t="s">
        <v>324</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row r="18" spans="1:25">
      <c r="A18" s="2" t="s">
        <v>325</v>
      </c>
      <c r="B18" s="180" t="s">
        <v>326</v>
      </c>
      <c r="C18" s="211"/>
      <c r="D18" s="211"/>
      <c r="E18" s="211"/>
      <c r="F18" s="211"/>
      <c r="G18" s="211"/>
      <c r="H18" s="211"/>
      <c r="I18" s="211"/>
      <c r="J18" s="211"/>
      <c r="K18" s="211"/>
      <c r="L18" s="211"/>
      <c r="M18" s="211"/>
      <c r="N18" s="211"/>
      <c r="O18" s="211"/>
      <c r="P18" s="211"/>
      <c r="Q18" s="211"/>
      <c r="R18" s="211"/>
      <c r="S18" s="211"/>
      <c r="T18" s="211"/>
      <c r="U18" s="211"/>
      <c r="V18" s="211"/>
      <c r="W18" s="211"/>
      <c r="X18" s="211"/>
      <c r="Y18" s="200"/>
    </row>
    <row r="19" spans="1:25">
      <c r="A19" s="2"/>
      <c r="B19" s="180"/>
      <c r="C19" s="211"/>
      <c r="D19" s="211"/>
      <c r="E19" s="211"/>
      <c r="F19" s="211"/>
      <c r="G19" s="211"/>
      <c r="H19" s="211"/>
      <c r="I19" s="211"/>
      <c r="J19" s="211"/>
      <c r="K19" s="211"/>
      <c r="L19" s="211"/>
      <c r="M19" s="211"/>
      <c r="N19" s="211"/>
      <c r="O19" s="211"/>
      <c r="P19" s="211"/>
      <c r="Q19" s="211"/>
      <c r="R19" s="211"/>
      <c r="S19" s="211"/>
      <c r="T19" s="211"/>
      <c r="U19" s="211"/>
      <c r="V19" s="211"/>
      <c r="W19" s="211"/>
      <c r="X19" s="211"/>
      <c r="Y19" s="200"/>
    </row>
    <row r="20" spans="1:25">
      <c r="A20" s="2"/>
      <c r="B20" s="180"/>
      <c r="C20" s="211"/>
      <c r="D20" s="211"/>
      <c r="E20" s="211"/>
      <c r="F20" s="211"/>
      <c r="G20" s="211"/>
      <c r="H20" s="211"/>
      <c r="I20" s="211"/>
      <c r="J20" s="211"/>
      <c r="K20" s="211"/>
      <c r="L20" s="211"/>
      <c r="M20" s="211"/>
      <c r="N20" s="211"/>
      <c r="O20" s="211"/>
      <c r="P20" s="211"/>
      <c r="Q20" s="211"/>
      <c r="R20" s="211"/>
      <c r="S20" s="211"/>
      <c r="T20" s="211"/>
      <c r="U20" s="211"/>
      <c r="V20" s="211"/>
      <c r="W20" s="211"/>
      <c r="X20" s="211"/>
      <c r="Y20" s="200"/>
    </row>
    <row r="21" spans="1:25">
      <c r="A21" s="2"/>
      <c r="B21" s="180"/>
      <c r="C21" s="211"/>
      <c r="D21" s="211"/>
      <c r="E21" s="211"/>
      <c r="F21" s="211"/>
      <c r="G21" s="211"/>
      <c r="H21" s="211"/>
      <c r="I21" s="211"/>
      <c r="J21" s="211"/>
      <c r="K21" s="211"/>
      <c r="L21" s="211"/>
      <c r="M21" s="211"/>
      <c r="N21" s="211"/>
      <c r="O21" s="211"/>
      <c r="P21" s="211"/>
      <c r="Q21" s="211"/>
      <c r="R21" s="211"/>
      <c r="S21" s="211"/>
      <c r="T21" s="211"/>
      <c r="U21" s="211"/>
      <c r="V21" s="211"/>
      <c r="W21" s="211"/>
      <c r="X21" s="211"/>
      <c r="Y21" s="200"/>
    </row>
  </sheetData>
  <mergeCells count="15">
    <mergeCell ref="B19:Y19"/>
    <mergeCell ref="B20:Y20"/>
    <mergeCell ref="B21:Y21"/>
    <mergeCell ref="AA1:AC2"/>
    <mergeCell ref="A4:A6"/>
    <mergeCell ref="B4:B6"/>
    <mergeCell ref="A10:AC10"/>
    <mergeCell ref="B11:Y11"/>
    <mergeCell ref="B12:Y12"/>
    <mergeCell ref="B13:Y13"/>
    <mergeCell ref="B14:Y14"/>
    <mergeCell ref="B15:Y15"/>
    <mergeCell ref="B16:Y16"/>
    <mergeCell ref="B17:Y17"/>
    <mergeCell ref="B18:Y18"/>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C21"/>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9.5" customHeight="1">
      <c r="A1" s="51" t="s">
        <v>373</v>
      </c>
      <c r="B1" s="98"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5"/>
      <c r="D2" s="65"/>
      <c r="E2" s="65"/>
      <c r="F2" s="65"/>
      <c r="G2" s="65"/>
      <c r="H2" s="65"/>
      <c r="I2" s="65"/>
      <c r="J2" s="65"/>
      <c r="K2" s="65"/>
      <c r="L2" s="65"/>
      <c r="M2" s="65"/>
      <c r="N2" s="65"/>
      <c r="O2" s="65"/>
      <c r="P2" s="43"/>
      <c r="Q2" s="65"/>
      <c r="R2" s="65"/>
      <c r="S2" s="65"/>
      <c r="T2" s="65"/>
      <c r="U2" s="67"/>
      <c r="V2" s="65"/>
      <c r="W2" s="65"/>
      <c r="X2" s="65"/>
      <c r="Y2" s="65"/>
      <c r="AA2" s="207"/>
      <c r="AB2" s="208"/>
      <c r="AC2" s="209"/>
    </row>
    <row r="3" spans="1:29" ht="51">
      <c r="A3" s="68" t="s">
        <v>402</v>
      </c>
      <c r="B3" s="63" t="s">
        <v>403</v>
      </c>
      <c r="C3" s="65"/>
      <c r="D3" s="66" t="s">
        <v>474</v>
      </c>
      <c r="E3" s="65"/>
      <c r="F3" s="43"/>
      <c r="G3" s="43"/>
      <c r="H3" s="65"/>
      <c r="I3" s="65"/>
      <c r="J3" s="65"/>
      <c r="K3" s="66"/>
      <c r="L3" s="65" t="s">
        <v>475</v>
      </c>
      <c r="M3" s="65"/>
      <c r="N3" s="65"/>
      <c r="O3" s="65"/>
      <c r="P3" s="65"/>
      <c r="Q3" s="65"/>
      <c r="R3" s="65"/>
      <c r="S3" s="65"/>
      <c r="T3" s="65"/>
      <c r="U3" s="67"/>
      <c r="V3" s="65"/>
      <c r="W3" s="65"/>
      <c r="X3" s="65"/>
      <c r="Y3" s="65"/>
    </row>
    <row r="4" spans="1:29" ht="63.75">
      <c r="A4" s="68" t="s">
        <v>406</v>
      </c>
      <c r="B4" s="63" t="s">
        <v>407</v>
      </c>
      <c r="C4" s="72"/>
      <c r="D4" s="72"/>
      <c r="E4" s="71"/>
      <c r="F4" s="65"/>
      <c r="G4" s="65"/>
      <c r="H4" s="65"/>
      <c r="I4" s="65"/>
      <c r="J4" s="65"/>
      <c r="K4" s="79"/>
      <c r="L4" s="79"/>
      <c r="M4" s="65"/>
      <c r="N4" s="65"/>
      <c r="O4" s="65"/>
      <c r="P4" s="65"/>
      <c r="Q4" s="65"/>
      <c r="R4" s="65"/>
      <c r="S4" s="65"/>
      <c r="T4" s="65"/>
      <c r="U4" s="67"/>
      <c r="V4" s="65"/>
      <c r="W4" s="65"/>
      <c r="X4" s="65"/>
      <c r="Y4" s="65"/>
    </row>
    <row r="5" spans="1:29" ht="51">
      <c r="A5" s="68" t="s">
        <v>410</v>
      </c>
      <c r="B5" s="63" t="s">
        <v>411</v>
      </c>
      <c r="C5" s="73"/>
      <c r="D5" s="110"/>
      <c r="E5" s="71"/>
      <c r="F5" s="65"/>
      <c r="G5" s="65"/>
      <c r="H5" s="65"/>
      <c r="I5" s="65"/>
      <c r="J5" s="65"/>
      <c r="K5" s="65"/>
      <c r="L5" s="65"/>
      <c r="M5" s="65"/>
      <c r="N5" s="65"/>
      <c r="O5" s="65"/>
      <c r="P5" s="65"/>
      <c r="Q5" s="65"/>
      <c r="R5" s="65"/>
      <c r="S5" s="65"/>
      <c r="T5" s="65"/>
      <c r="U5" s="67"/>
      <c r="V5" s="65"/>
      <c r="W5" s="65"/>
      <c r="X5" s="65"/>
      <c r="Y5" s="65"/>
    </row>
    <row r="6" spans="1:29">
      <c r="A6" s="193" t="s">
        <v>412</v>
      </c>
      <c r="B6" s="194" t="s">
        <v>431</v>
      </c>
      <c r="C6" s="71"/>
      <c r="D6" s="87"/>
      <c r="E6" s="65"/>
      <c r="F6" s="65"/>
      <c r="G6" s="65"/>
      <c r="H6" s="65"/>
      <c r="I6" s="65"/>
      <c r="J6" s="65"/>
      <c r="K6" s="65"/>
      <c r="L6" s="65" t="s">
        <v>476</v>
      </c>
      <c r="M6" s="65" t="s">
        <v>476</v>
      </c>
      <c r="N6" s="65"/>
      <c r="O6" s="65"/>
      <c r="P6" s="65"/>
      <c r="Q6" s="65"/>
      <c r="R6" s="65"/>
      <c r="S6" s="65"/>
      <c r="T6" s="65"/>
      <c r="U6" s="67"/>
      <c r="V6" s="65"/>
      <c r="W6" s="65"/>
      <c r="X6" s="65"/>
      <c r="Y6" s="65"/>
    </row>
    <row r="7" spans="1:29">
      <c r="A7" s="207"/>
      <c r="B7" s="210"/>
      <c r="C7" s="71"/>
      <c r="D7" s="87"/>
      <c r="E7" s="65"/>
      <c r="F7" s="65"/>
      <c r="G7" s="65"/>
      <c r="H7" s="65"/>
      <c r="I7" s="65"/>
      <c r="J7" s="65"/>
      <c r="K7" s="65"/>
      <c r="L7" s="65"/>
      <c r="M7" s="65" t="s">
        <v>477</v>
      </c>
      <c r="N7" s="65"/>
      <c r="O7" s="65"/>
      <c r="P7" s="65"/>
      <c r="Q7" s="65"/>
      <c r="R7" s="65"/>
      <c r="S7" s="65"/>
      <c r="T7" s="65"/>
      <c r="U7" s="67"/>
      <c r="V7" s="65"/>
      <c r="W7" s="65"/>
      <c r="X7" s="65"/>
      <c r="Y7" s="65"/>
    </row>
    <row r="8" spans="1:29" ht="51">
      <c r="A8" s="68" t="s">
        <v>422</v>
      </c>
      <c r="B8" s="90" t="s">
        <v>423</v>
      </c>
      <c r="C8" s="65"/>
      <c r="D8" s="65"/>
      <c r="E8" s="65"/>
      <c r="F8" s="65"/>
      <c r="G8" s="65"/>
      <c r="H8" s="65"/>
      <c r="I8" s="65"/>
      <c r="J8" s="65"/>
      <c r="K8" s="65"/>
      <c r="L8" s="65"/>
      <c r="M8" s="65"/>
      <c r="N8" s="65"/>
      <c r="O8" s="65"/>
      <c r="P8" s="65"/>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ht="24" customHeight="1">
      <c r="A10" s="2" t="s">
        <v>424</v>
      </c>
      <c r="B10" s="180" t="s">
        <v>425</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c r="Z10" s="9"/>
      <c r="AA10" s="9"/>
      <c r="AB10" s="9"/>
      <c r="AC10" s="9"/>
    </row>
    <row r="11" spans="1:29" ht="24" customHeight="1">
      <c r="A11" s="2" t="s">
        <v>426</v>
      </c>
      <c r="B11" s="180" t="s">
        <v>478</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c r="Z11" s="9"/>
      <c r="AA11" s="9"/>
      <c r="AB11" s="9"/>
      <c r="AC11" s="9"/>
    </row>
    <row r="12" spans="1:29" ht="24" customHeight="1">
      <c r="A12" s="2" t="s">
        <v>427</v>
      </c>
      <c r="B12" s="180" t="s">
        <v>479</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c r="Z12" s="9"/>
      <c r="AA12" s="9"/>
      <c r="AB12" s="9"/>
      <c r="AC12" s="9"/>
    </row>
    <row r="13" spans="1:29">
      <c r="A13" s="2" t="s">
        <v>327</v>
      </c>
      <c r="B13" s="180" t="s">
        <v>328</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2" t="s">
        <v>329</v>
      </c>
      <c r="B14" s="181" t="s">
        <v>330</v>
      </c>
      <c r="C14" s="208"/>
      <c r="D14" s="208"/>
      <c r="E14" s="208"/>
      <c r="F14" s="208"/>
      <c r="G14" s="208"/>
      <c r="H14" s="208"/>
      <c r="I14" s="208"/>
      <c r="J14" s="208"/>
      <c r="K14" s="208"/>
      <c r="L14" s="208"/>
      <c r="M14" s="208"/>
      <c r="N14" s="208"/>
      <c r="O14" s="208"/>
      <c r="P14" s="208"/>
      <c r="Q14" s="208"/>
      <c r="R14" s="208"/>
      <c r="S14" s="208"/>
      <c r="T14" s="208"/>
      <c r="U14" s="208"/>
      <c r="V14" s="208"/>
      <c r="W14" s="208"/>
      <c r="X14" s="208"/>
      <c r="Y14" s="209"/>
    </row>
    <row r="15" spans="1:29" ht="14.25" customHeight="1">
      <c r="A15" s="2" t="s">
        <v>331</v>
      </c>
      <c r="B15" s="180" t="s">
        <v>332</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c r="B16" s="181"/>
      <c r="C16" s="208"/>
      <c r="D16" s="208"/>
      <c r="E16" s="208"/>
      <c r="F16" s="208"/>
      <c r="G16" s="208"/>
      <c r="H16" s="208"/>
      <c r="I16" s="208"/>
      <c r="J16" s="208"/>
      <c r="K16" s="208"/>
      <c r="L16" s="208"/>
      <c r="M16" s="208"/>
      <c r="N16" s="208"/>
      <c r="O16" s="208"/>
      <c r="P16" s="208"/>
      <c r="Q16" s="208"/>
      <c r="R16" s="208"/>
      <c r="S16" s="208"/>
      <c r="T16" s="208"/>
      <c r="U16" s="208"/>
      <c r="V16" s="208"/>
      <c r="W16" s="208"/>
      <c r="X16" s="208"/>
      <c r="Y16" s="209"/>
    </row>
    <row r="17" spans="2:25">
      <c r="B17" s="181"/>
      <c r="C17" s="208"/>
      <c r="D17" s="208"/>
      <c r="E17" s="208"/>
      <c r="F17" s="208"/>
      <c r="G17" s="208"/>
      <c r="H17" s="208"/>
      <c r="I17" s="208"/>
      <c r="J17" s="208"/>
      <c r="K17" s="208"/>
      <c r="L17" s="208"/>
      <c r="M17" s="208"/>
      <c r="N17" s="208"/>
      <c r="O17" s="208"/>
      <c r="P17" s="208"/>
      <c r="Q17" s="208"/>
      <c r="R17" s="208"/>
      <c r="S17" s="208"/>
      <c r="T17" s="208"/>
      <c r="U17" s="208"/>
      <c r="V17" s="208"/>
      <c r="W17" s="208"/>
      <c r="X17" s="208"/>
      <c r="Y17" s="209"/>
    </row>
    <row r="18" spans="2:25">
      <c r="B18" s="181"/>
      <c r="C18" s="208"/>
      <c r="D18" s="208"/>
      <c r="E18" s="208"/>
      <c r="F18" s="208"/>
      <c r="G18" s="208"/>
      <c r="H18" s="208"/>
      <c r="I18" s="208"/>
      <c r="J18" s="208"/>
      <c r="K18" s="208"/>
      <c r="L18" s="208"/>
      <c r="M18" s="208"/>
      <c r="N18" s="208"/>
      <c r="O18" s="208"/>
      <c r="P18" s="208"/>
      <c r="Q18" s="208"/>
      <c r="R18" s="208"/>
      <c r="S18" s="208"/>
      <c r="T18" s="208"/>
      <c r="U18" s="208"/>
      <c r="V18" s="208"/>
      <c r="W18" s="208"/>
      <c r="X18" s="208"/>
      <c r="Y18" s="209"/>
    </row>
    <row r="19" spans="2:25">
      <c r="B19" s="181"/>
      <c r="C19" s="208"/>
      <c r="D19" s="208"/>
      <c r="E19" s="208"/>
      <c r="F19" s="208"/>
      <c r="G19" s="208"/>
      <c r="H19" s="208"/>
      <c r="I19" s="208"/>
      <c r="J19" s="208"/>
      <c r="K19" s="208"/>
      <c r="L19" s="208"/>
      <c r="M19" s="208"/>
      <c r="N19" s="208"/>
      <c r="O19" s="208"/>
      <c r="P19" s="208"/>
      <c r="Q19" s="208"/>
      <c r="R19" s="208"/>
      <c r="S19" s="208"/>
      <c r="T19" s="208"/>
      <c r="U19" s="208"/>
      <c r="V19" s="208"/>
      <c r="W19" s="208"/>
      <c r="X19" s="208"/>
      <c r="Y19" s="209"/>
    </row>
    <row r="20" spans="2:25">
      <c r="B20" s="181"/>
      <c r="C20" s="208"/>
      <c r="D20" s="208"/>
      <c r="E20" s="208"/>
      <c r="F20" s="208"/>
      <c r="G20" s="208"/>
      <c r="H20" s="208"/>
      <c r="I20" s="208"/>
      <c r="J20" s="208"/>
      <c r="K20" s="208"/>
      <c r="L20" s="208"/>
      <c r="M20" s="208"/>
      <c r="N20" s="208"/>
      <c r="O20" s="208"/>
      <c r="P20" s="208"/>
      <c r="Q20" s="208"/>
      <c r="R20" s="208"/>
      <c r="S20" s="208"/>
      <c r="T20" s="208"/>
      <c r="U20" s="208"/>
      <c r="V20" s="208"/>
      <c r="W20" s="208"/>
      <c r="X20" s="208"/>
      <c r="Y20" s="209"/>
    </row>
    <row r="21" spans="2:25">
      <c r="B21" s="181"/>
      <c r="C21" s="208"/>
      <c r="D21" s="208"/>
      <c r="E21" s="208"/>
      <c r="F21" s="208"/>
      <c r="G21" s="208"/>
      <c r="H21" s="208"/>
      <c r="I21" s="208"/>
      <c r="J21" s="208"/>
      <c r="K21" s="208"/>
      <c r="L21" s="208"/>
      <c r="M21" s="208"/>
      <c r="N21" s="208"/>
      <c r="O21" s="208"/>
      <c r="P21" s="208"/>
      <c r="Q21" s="208"/>
      <c r="R21" s="208"/>
      <c r="S21" s="208"/>
      <c r="T21" s="208"/>
      <c r="U21" s="208"/>
      <c r="V21" s="208"/>
      <c r="W21" s="208"/>
      <c r="X21" s="208"/>
      <c r="Y21" s="209"/>
    </row>
  </sheetData>
  <mergeCells count="16">
    <mergeCell ref="B11:Y11"/>
    <mergeCell ref="B12:Y12"/>
    <mergeCell ref="B20:Y20"/>
    <mergeCell ref="B21:Y21"/>
    <mergeCell ref="B13:Y13"/>
    <mergeCell ref="B14:Y14"/>
    <mergeCell ref="B15:Y15"/>
    <mergeCell ref="B16:Y16"/>
    <mergeCell ref="B17:Y17"/>
    <mergeCell ref="B18:Y18"/>
    <mergeCell ref="B19:Y19"/>
    <mergeCell ref="AA1:AC2"/>
    <mergeCell ref="A6:A7"/>
    <mergeCell ref="B6:B7"/>
    <mergeCell ref="A9:AC9"/>
    <mergeCell ref="B10:Y10"/>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3"/>
  <sheetViews>
    <sheetView workbookViewId="0"/>
  </sheetViews>
  <sheetFormatPr defaultColWidth="12.5703125" defaultRowHeight="15" customHeight="1"/>
  <cols>
    <col min="1" max="1" width="19.28515625" customWidth="1"/>
    <col min="2" max="14" width="19.7109375" customWidth="1"/>
    <col min="15" max="15" width="13.28515625" customWidth="1"/>
    <col min="16" max="25" width="19.7109375" customWidth="1"/>
    <col min="26" max="29" width="8.85546875" customWidth="1"/>
  </cols>
  <sheetData>
    <row r="1" spans="1:29" ht="147.75" customHeight="1">
      <c r="A1" s="51"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5"/>
      <c r="D2" s="65"/>
      <c r="E2" s="65"/>
      <c r="F2" s="65"/>
      <c r="G2" s="65"/>
      <c r="H2" s="65"/>
      <c r="I2" s="65"/>
      <c r="J2" s="65" t="s">
        <v>480</v>
      </c>
      <c r="K2" s="65"/>
      <c r="L2" s="65"/>
      <c r="M2" s="65"/>
      <c r="N2" s="65"/>
      <c r="O2" s="65"/>
      <c r="P2" s="43" t="s">
        <v>481</v>
      </c>
      <c r="Q2" s="65"/>
      <c r="R2" s="65"/>
      <c r="S2" s="65"/>
      <c r="T2" s="65"/>
      <c r="U2" s="67"/>
      <c r="V2" s="65"/>
      <c r="W2" s="65"/>
      <c r="X2" s="65"/>
      <c r="Y2" s="65"/>
      <c r="AA2" s="207"/>
      <c r="AB2" s="208"/>
      <c r="AC2" s="209"/>
    </row>
    <row r="3" spans="1:29" ht="25.5">
      <c r="A3" s="189" t="s">
        <v>402</v>
      </c>
      <c r="B3" s="190" t="s">
        <v>403</v>
      </c>
      <c r="C3" s="65"/>
      <c r="D3" s="75"/>
      <c r="E3" s="71"/>
      <c r="F3" s="43" t="s">
        <v>482</v>
      </c>
      <c r="G3" s="43" t="s">
        <v>482</v>
      </c>
      <c r="H3" s="65"/>
      <c r="I3" s="65"/>
      <c r="J3" s="111" t="s">
        <v>483</v>
      </c>
      <c r="K3" s="65"/>
      <c r="L3" s="65"/>
      <c r="M3" s="65"/>
      <c r="N3" s="65" t="s">
        <v>484</v>
      </c>
      <c r="O3" s="65" t="s">
        <v>482</v>
      </c>
      <c r="P3" s="65"/>
      <c r="Q3" s="65"/>
      <c r="R3" s="65"/>
      <c r="S3" s="65"/>
      <c r="T3" s="65"/>
      <c r="U3" s="67"/>
      <c r="V3" s="65"/>
      <c r="W3" s="65"/>
      <c r="X3" s="65"/>
      <c r="Y3" s="65"/>
    </row>
    <row r="4" spans="1:29">
      <c r="A4" s="210"/>
      <c r="B4" s="212"/>
      <c r="C4" s="78"/>
      <c r="D4" s="75"/>
      <c r="E4" s="71"/>
      <c r="F4" s="85"/>
      <c r="G4" s="85"/>
      <c r="H4" s="65"/>
      <c r="I4" s="65"/>
      <c r="J4" s="111" t="s">
        <v>482</v>
      </c>
      <c r="K4" s="78"/>
      <c r="L4" s="78"/>
      <c r="M4" s="65"/>
      <c r="N4" s="65"/>
      <c r="O4" s="65"/>
      <c r="P4" s="65"/>
      <c r="Q4" s="65"/>
      <c r="R4" s="65"/>
      <c r="S4" s="65"/>
      <c r="T4" s="65"/>
      <c r="U4" s="67"/>
      <c r="V4" s="65"/>
      <c r="W4" s="65"/>
      <c r="X4" s="65"/>
      <c r="Y4" s="65"/>
    </row>
    <row r="5" spans="1:29" ht="28.5">
      <c r="A5" s="189" t="s">
        <v>406</v>
      </c>
      <c r="B5" s="190" t="s">
        <v>407</v>
      </c>
      <c r="C5" s="112"/>
      <c r="D5" s="72"/>
      <c r="E5" s="71"/>
      <c r="F5" s="113"/>
      <c r="G5" s="113"/>
      <c r="H5" s="65"/>
      <c r="I5" s="65"/>
      <c r="J5" s="65"/>
      <c r="K5" s="107"/>
      <c r="L5" s="107"/>
      <c r="M5" s="65"/>
      <c r="N5" s="65"/>
      <c r="O5" s="111" t="s">
        <v>484</v>
      </c>
      <c r="P5" s="65"/>
      <c r="Q5" s="65"/>
      <c r="R5" s="65"/>
      <c r="S5" s="65"/>
      <c r="T5" s="65"/>
      <c r="U5" s="67"/>
      <c r="V5" s="65"/>
      <c r="W5" s="65"/>
      <c r="X5" s="65"/>
      <c r="Y5" s="65"/>
    </row>
    <row r="6" spans="1:29" ht="28.5">
      <c r="A6" s="210"/>
      <c r="B6" s="212"/>
      <c r="C6" s="72"/>
      <c r="D6" s="72"/>
      <c r="E6" s="71"/>
      <c r="F6" s="65"/>
      <c r="G6" s="65"/>
      <c r="H6" s="65"/>
      <c r="I6" s="65"/>
      <c r="J6" s="65" t="s">
        <v>483</v>
      </c>
      <c r="K6" s="79" t="s">
        <v>483</v>
      </c>
      <c r="L6" s="79"/>
      <c r="M6" s="65"/>
      <c r="N6" s="65" t="s">
        <v>484</v>
      </c>
      <c r="O6" s="111" t="s">
        <v>485</v>
      </c>
      <c r="P6" s="65" t="s">
        <v>486</v>
      </c>
      <c r="Q6" s="65"/>
      <c r="R6" s="65"/>
      <c r="S6" s="65"/>
      <c r="T6" s="65"/>
      <c r="U6" s="67"/>
      <c r="V6" s="65"/>
      <c r="W6" s="65"/>
      <c r="X6" s="65"/>
      <c r="Y6" s="65"/>
    </row>
    <row r="7" spans="1:29" ht="51">
      <c r="A7" s="68" t="s">
        <v>410</v>
      </c>
      <c r="B7" s="63" t="s">
        <v>411</v>
      </c>
      <c r="C7" s="73"/>
      <c r="D7" s="79"/>
      <c r="E7" s="71"/>
      <c r="F7" s="65"/>
      <c r="G7" s="65"/>
      <c r="H7" s="65"/>
      <c r="I7" s="65"/>
      <c r="J7" s="65"/>
      <c r="K7" s="65"/>
      <c r="L7" s="65"/>
      <c r="M7" s="65"/>
      <c r="N7" s="65"/>
      <c r="O7" s="65"/>
      <c r="P7" s="65"/>
      <c r="Q7" s="65"/>
      <c r="R7" s="65"/>
      <c r="S7" s="65"/>
      <c r="T7" s="65"/>
      <c r="U7" s="67"/>
      <c r="V7" s="65"/>
      <c r="W7" s="65"/>
      <c r="X7" s="65"/>
      <c r="Y7" s="65"/>
    </row>
    <row r="8" spans="1:29" ht="51">
      <c r="A8" s="88" t="s">
        <v>412</v>
      </c>
      <c r="B8" s="96" t="s">
        <v>431</v>
      </c>
      <c r="C8" s="65"/>
      <c r="D8" s="87"/>
      <c r="E8" s="65"/>
      <c r="F8" s="65"/>
      <c r="G8" s="65"/>
      <c r="H8" s="65"/>
      <c r="I8" s="65"/>
      <c r="J8" s="65" t="s">
        <v>487</v>
      </c>
      <c r="K8" s="65" t="s">
        <v>488</v>
      </c>
      <c r="L8" s="65" t="s">
        <v>488</v>
      </c>
      <c r="M8" s="65"/>
      <c r="N8" s="65"/>
      <c r="O8" s="65"/>
      <c r="P8" s="65"/>
      <c r="Q8" s="65"/>
      <c r="R8" s="65"/>
      <c r="S8" s="65"/>
      <c r="T8" s="65"/>
      <c r="U8" s="67"/>
      <c r="V8" s="65"/>
      <c r="W8" s="65"/>
      <c r="X8" s="65"/>
      <c r="Y8" s="65"/>
    </row>
    <row r="9" spans="1:29">
      <c r="A9" s="189" t="s">
        <v>422</v>
      </c>
      <c r="B9" s="190" t="s">
        <v>423</v>
      </c>
      <c r="C9" s="65"/>
      <c r="D9" s="87"/>
      <c r="E9" s="65"/>
      <c r="F9" s="65"/>
      <c r="G9" s="65"/>
      <c r="H9" s="65"/>
      <c r="I9" s="65"/>
      <c r="J9" s="65"/>
      <c r="K9" s="111" t="s">
        <v>488</v>
      </c>
      <c r="L9" s="111" t="s">
        <v>488</v>
      </c>
      <c r="M9" s="65"/>
      <c r="N9" s="65"/>
      <c r="O9" s="65"/>
      <c r="P9" s="65"/>
      <c r="Q9" s="65"/>
      <c r="R9" s="65"/>
      <c r="S9" s="65"/>
      <c r="T9" s="65"/>
      <c r="U9" s="67"/>
      <c r="V9" s="65"/>
      <c r="W9" s="65"/>
      <c r="X9" s="65"/>
      <c r="Y9" s="65"/>
    </row>
    <row r="10" spans="1:29">
      <c r="A10" s="210"/>
      <c r="B10" s="212"/>
      <c r="C10" s="65"/>
      <c r="D10" s="65"/>
      <c r="E10" s="65"/>
      <c r="F10" s="65"/>
      <c r="G10" s="65"/>
      <c r="H10" s="65"/>
      <c r="I10" s="65"/>
      <c r="J10" s="65" t="s">
        <v>487</v>
      </c>
      <c r="K10" s="111" t="s">
        <v>489</v>
      </c>
      <c r="L10" s="111" t="s">
        <v>489</v>
      </c>
      <c r="M10" s="65"/>
      <c r="N10" s="65"/>
      <c r="O10" s="65"/>
      <c r="P10" s="65"/>
      <c r="Q10" s="65"/>
      <c r="R10" s="65"/>
      <c r="S10" s="65"/>
      <c r="T10" s="65"/>
      <c r="U10" s="67"/>
      <c r="V10" s="65"/>
      <c r="W10" s="65"/>
      <c r="X10" s="65"/>
      <c r="Y10" s="65"/>
    </row>
    <row r="11" spans="1:29" ht="24" customHeight="1">
      <c r="A11" s="188"/>
      <c r="B11" s="204"/>
      <c r="C11" s="204"/>
      <c r="D11" s="204"/>
      <c r="E11" s="204"/>
      <c r="F11" s="204"/>
      <c r="G11" s="204"/>
      <c r="H11" s="204"/>
      <c r="I11" s="204"/>
      <c r="J11" s="204"/>
      <c r="K11" s="204"/>
      <c r="L11" s="204"/>
      <c r="M11" s="204"/>
      <c r="N11" s="204"/>
      <c r="O11" s="204"/>
      <c r="P11" s="204"/>
      <c r="Q11" s="204"/>
      <c r="R11" s="204"/>
      <c r="S11" s="204"/>
      <c r="T11" s="204"/>
      <c r="U11" s="204"/>
      <c r="V11" s="204"/>
      <c r="W11" s="204"/>
      <c r="X11" s="204"/>
      <c r="Y11" s="204"/>
      <c r="Z11" s="204"/>
      <c r="AA11" s="204"/>
      <c r="AB11" s="204"/>
      <c r="AC11" s="204"/>
    </row>
    <row r="12" spans="1:29" ht="24" customHeight="1">
      <c r="A12" s="2" t="s">
        <v>424</v>
      </c>
      <c r="B12" s="180" t="s">
        <v>490</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c r="Z12" s="9"/>
      <c r="AA12" s="9"/>
      <c r="AB12" s="9"/>
      <c r="AC12" s="9"/>
    </row>
    <row r="13" spans="1:29" ht="24" customHeight="1">
      <c r="A13" s="2" t="s">
        <v>426</v>
      </c>
      <c r="B13" s="180"/>
      <c r="C13" s="211"/>
      <c r="D13" s="211"/>
      <c r="E13" s="211"/>
      <c r="F13" s="211"/>
      <c r="G13" s="211"/>
      <c r="H13" s="211"/>
      <c r="I13" s="211"/>
      <c r="J13" s="211"/>
      <c r="K13" s="211"/>
      <c r="L13" s="211"/>
      <c r="M13" s="211"/>
      <c r="N13" s="211"/>
      <c r="O13" s="211"/>
      <c r="P13" s="211"/>
      <c r="Q13" s="211"/>
      <c r="R13" s="211"/>
      <c r="S13" s="211"/>
      <c r="T13" s="211"/>
      <c r="U13" s="211"/>
      <c r="V13" s="211"/>
      <c r="W13" s="211"/>
      <c r="X13" s="211"/>
      <c r="Y13" s="200"/>
      <c r="Z13" s="9"/>
      <c r="AA13" s="9"/>
      <c r="AB13" s="9"/>
      <c r="AC13" s="9"/>
    </row>
    <row r="14" spans="1:29" ht="24" customHeight="1">
      <c r="A14" s="2" t="s">
        <v>427</v>
      </c>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c r="Z14" s="9"/>
      <c r="AA14" s="9"/>
      <c r="AB14" s="9"/>
      <c r="AC14" s="9"/>
    </row>
    <row r="15" spans="1:29">
      <c r="A15" s="2" t="s">
        <v>357</v>
      </c>
      <c r="B15" s="180" t="s">
        <v>358</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t="s">
        <v>359</v>
      </c>
      <c r="B16" s="181" t="s">
        <v>360</v>
      </c>
      <c r="C16" s="208"/>
      <c r="D16" s="208"/>
      <c r="E16" s="208"/>
      <c r="F16" s="208"/>
      <c r="G16" s="208"/>
      <c r="H16" s="208"/>
      <c r="I16" s="208"/>
      <c r="J16" s="208"/>
      <c r="K16" s="208"/>
      <c r="L16" s="208"/>
      <c r="M16" s="208"/>
      <c r="N16" s="208"/>
      <c r="O16" s="208"/>
      <c r="P16" s="208"/>
      <c r="Q16" s="208"/>
      <c r="R16" s="208"/>
      <c r="S16" s="208"/>
      <c r="T16" s="208"/>
      <c r="U16" s="208"/>
      <c r="V16" s="208"/>
      <c r="W16" s="208"/>
      <c r="X16" s="208"/>
      <c r="Y16" s="209"/>
    </row>
    <row r="17" spans="1:25" ht="14.25" customHeight="1">
      <c r="A17" s="2" t="s">
        <v>361</v>
      </c>
      <c r="B17" s="180" t="s">
        <v>362</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row r="18" spans="1:25">
      <c r="A18" s="2" t="s">
        <v>363</v>
      </c>
      <c r="B18" s="181" t="s">
        <v>364</v>
      </c>
      <c r="C18" s="208"/>
      <c r="D18" s="208"/>
      <c r="E18" s="208"/>
      <c r="F18" s="208"/>
      <c r="G18" s="208"/>
      <c r="H18" s="208"/>
      <c r="I18" s="208"/>
      <c r="J18" s="208"/>
      <c r="K18" s="208"/>
      <c r="L18" s="208"/>
      <c r="M18" s="208"/>
      <c r="N18" s="208"/>
      <c r="O18" s="208"/>
      <c r="P18" s="208"/>
      <c r="Q18" s="208"/>
      <c r="R18" s="208"/>
      <c r="S18" s="208"/>
      <c r="T18" s="208"/>
      <c r="U18" s="208"/>
      <c r="V18" s="208"/>
      <c r="W18" s="208"/>
      <c r="X18" s="208"/>
      <c r="Y18" s="209"/>
    </row>
    <row r="19" spans="1:25">
      <c r="A19" s="2" t="s">
        <v>365</v>
      </c>
      <c r="B19" s="181" t="s">
        <v>366</v>
      </c>
      <c r="C19" s="208"/>
      <c r="D19" s="208"/>
      <c r="E19" s="208"/>
      <c r="F19" s="208"/>
      <c r="G19" s="208"/>
      <c r="H19" s="208"/>
      <c r="I19" s="208"/>
      <c r="J19" s="208"/>
      <c r="K19" s="208"/>
      <c r="L19" s="208"/>
      <c r="M19" s="208"/>
      <c r="N19" s="208"/>
      <c r="O19" s="208"/>
      <c r="P19" s="208"/>
      <c r="Q19" s="208"/>
      <c r="R19" s="208"/>
      <c r="S19" s="208"/>
      <c r="T19" s="208"/>
      <c r="U19" s="208"/>
      <c r="V19" s="208"/>
      <c r="W19" s="208"/>
      <c r="X19" s="208"/>
      <c r="Y19" s="209"/>
    </row>
    <row r="20" spans="1:25">
      <c r="A20" s="2" t="s">
        <v>367</v>
      </c>
      <c r="B20" s="181" t="s">
        <v>368</v>
      </c>
      <c r="C20" s="208"/>
      <c r="D20" s="208"/>
      <c r="E20" s="208"/>
      <c r="F20" s="208"/>
      <c r="G20" s="208"/>
      <c r="H20" s="208"/>
      <c r="I20" s="208"/>
      <c r="J20" s="208"/>
      <c r="K20" s="208"/>
      <c r="L20" s="208"/>
      <c r="M20" s="208"/>
      <c r="N20" s="208"/>
      <c r="O20" s="208"/>
      <c r="P20" s="208"/>
      <c r="Q20" s="208"/>
      <c r="R20" s="208"/>
      <c r="S20" s="208"/>
      <c r="T20" s="208"/>
      <c r="U20" s="208"/>
      <c r="V20" s="208"/>
      <c r="W20" s="208"/>
      <c r="X20" s="208"/>
      <c r="Y20" s="209"/>
    </row>
    <row r="21" spans="1:25">
      <c r="A21" s="2" t="s">
        <v>369</v>
      </c>
      <c r="B21" s="181" t="s">
        <v>370</v>
      </c>
      <c r="C21" s="208"/>
      <c r="D21" s="208"/>
      <c r="E21" s="208"/>
      <c r="F21" s="208"/>
      <c r="G21" s="208"/>
      <c r="H21" s="208"/>
      <c r="I21" s="208"/>
      <c r="J21" s="208"/>
      <c r="K21" s="208"/>
      <c r="L21" s="208"/>
      <c r="M21" s="208"/>
      <c r="N21" s="208"/>
      <c r="O21" s="208"/>
      <c r="P21" s="208"/>
      <c r="Q21" s="208"/>
      <c r="R21" s="208"/>
      <c r="S21" s="208"/>
      <c r="T21" s="208"/>
      <c r="U21" s="208"/>
      <c r="V21" s="208"/>
      <c r="W21" s="208"/>
      <c r="X21" s="208"/>
      <c r="Y21" s="209"/>
    </row>
    <row r="22" spans="1:25">
      <c r="A22" s="2" t="s">
        <v>371</v>
      </c>
      <c r="B22" s="181" t="s">
        <v>372</v>
      </c>
      <c r="C22" s="208"/>
      <c r="D22" s="208"/>
      <c r="E22" s="208"/>
      <c r="F22" s="208"/>
      <c r="G22" s="208"/>
      <c r="H22" s="208"/>
      <c r="I22" s="208"/>
      <c r="J22" s="208"/>
      <c r="K22" s="208"/>
      <c r="L22" s="208"/>
      <c r="M22" s="208"/>
      <c r="N22" s="208"/>
      <c r="O22" s="208"/>
      <c r="P22" s="208"/>
      <c r="Q22" s="208"/>
      <c r="R22" s="208"/>
      <c r="S22" s="208"/>
      <c r="T22" s="208"/>
      <c r="U22" s="208"/>
      <c r="V22" s="208"/>
      <c r="W22" s="208"/>
      <c r="X22" s="208"/>
      <c r="Y22" s="209"/>
    </row>
    <row r="23" spans="1:25">
      <c r="A23" s="2"/>
      <c r="B23" s="181"/>
      <c r="C23" s="208"/>
      <c r="D23" s="208"/>
      <c r="E23" s="208"/>
      <c r="F23" s="208"/>
      <c r="G23" s="208"/>
      <c r="H23" s="208"/>
      <c r="I23" s="208"/>
      <c r="J23" s="208"/>
      <c r="K23" s="208"/>
      <c r="L23" s="208"/>
      <c r="M23" s="208"/>
      <c r="N23" s="208"/>
      <c r="O23" s="208"/>
      <c r="P23" s="208"/>
      <c r="Q23" s="208"/>
      <c r="R23" s="208"/>
      <c r="S23" s="208"/>
      <c r="T23" s="208"/>
      <c r="U23" s="208"/>
      <c r="V23" s="208"/>
      <c r="W23" s="208"/>
      <c r="X23" s="208"/>
      <c r="Y23" s="209"/>
    </row>
  </sheetData>
  <mergeCells count="20">
    <mergeCell ref="B21:Y21"/>
    <mergeCell ref="B22:Y22"/>
    <mergeCell ref="B23:Y23"/>
    <mergeCell ref="A11:AC11"/>
    <mergeCell ref="B12:Y12"/>
    <mergeCell ref="B13:Y13"/>
    <mergeCell ref="B14:Y14"/>
    <mergeCell ref="B15:Y15"/>
    <mergeCell ref="B16:Y16"/>
    <mergeCell ref="B17:Y17"/>
    <mergeCell ref="A9:A10"/>
    <mergeCell ref="B9:B10"/>
    <mergeCell ref="B18:Y18"/>
    <mergeCell ref="B19:Y19"/>
    <mergeCell ref="B20:Y20"/>
    <mergeCell ref="AA1:AC2"/>
    <mergeCell ref="A3:A4"/>
    <mergeCell ref="B3:B4"/>
    <mergeCell ref="A5:A6"/>
    <mergeCell ref="B5:B6"/>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26"/>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69.75" customHeight="1">
      <c r="A1" s="51"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5"/>
      <c r="D2" s="65"/>
      <c r="E2" s="65"/>
      <c r="F2" s="65"/>
      <c r="G2" s="65"/>
      <c r="H2" s="65"/>
      <c r="I2" s="65"/>
      <c r="J2" s="65"/>
      <c r="K2" s="65"/>
      <c r="L2" s="66"/>
      <c r="M2" s="66"/>
      <c r="N2" s="66"/>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73" t="s">
        <v>491</v>
      </c>
      <c r="L3" s="72" t="s">
        <v>492</v>
      </c>
      <c r="M3" s="114"/>
      <c r="N3" s="72" t="s">
        <v>493</v>
      </c>
      <c r="O3" s="71"/>
      <c r="P3" s="65"/>
      <c r="Q3" s="65"/>
      <c r="R3" s="65"/>
      <c r="S3" s="65"/>
      <c r="T3" s="65"/>
      <c r="U3" s="67"/>
      <c r="V3" s="65"/>
      <c r="W3" s="65"/>
      <c r="X3" s="65"/>
      <c r="Y3" s="65"/>
    </row>
    <row r="4" spans="1:29" ht="63.75">
      <c r="A4" s="68" t="s">
        <v>406</v>
      </c>
      <c r="B4" s="63" t="s">
        <v>407</v>
      </c>
      <c r="C4" s="75"/>
      <c r="D4" s="75"/>
      <c r="E4" s="75"/>
      <c r="F4" s="75"/>
      <c r="G4" s="75"/>
      <c r="H4" s="75"/>
      <c r="I4" s="75"/>
      <c r="J4" s="75"/>
      <c r="K4" s="79" t="s">
        <v>494</v>
      </c>
      <c r="L4" s="79"/>
      <c r="M4" s="75" t="s">
        <v>495</v>
      </c>
      <c r="N4" s="72" t="s">
        <v>496</v>
      </c>
      <c r="O4" s="75"/>
      <c r="P4" s="75"/>
      <c r="Q4" s="71"/>
      <c r="R4" s="65"/>
      <c r="S4" s="65"/>
      <c r="T4" s="65"/>
      <c r="U4" s="67"/>
      <c r="V4" s="65"/>
      <c r="W4" s="65"/>
      <c r="X4" s="65"/>
      <c r="Y4" s="65"/>
    </row>
    <row r="5" spans="1:29" ht="28.5">
      <c r="A5" s="189" t="s">
        <v>410</v>
      </c>
      <c r="B5" s="190" t="s">
        <v>411</v>
      </c>
      <c r="C5" s="72"/>
      <c r="D5" s="79"/>
      <c r="E5" s="75"/>
      <c r="F5" s="75"/>
      <c r="G5" s="75"/>
      <c r="H5" s="75"/>
      <c r="I5" s="72" t="s">
        <v>497</v>
      </c>
      <c r="J5" s="75"/>
      <c r="K5" s="72" t="s">
        <v>498</v>
      </c>
      <c r="L5" s="75" t="s">
        <v>499</v>
      </c>
      <c r="M5" s="75"/>
      <c r="N5" s="72"/>
      <c r="O5" s="75"/>
      <c r="P5" s="75"/>
      <c r="Q5" s="71"/>
      <c r="R5" s="65"/>
      <c r="S5" s="65"/>
      <c r="T5" s="65"/>
      <c r="U5" s="67"/>
      <c r="V5" s="65"/>
      <c r="W5" s="65"/>
      <c r="X5" s="65"/>
      <c r="Y5" s="65"/>
    </row>
    <row r="6" spans="1:29" ht="28.5">
      <c r="A6" s="210"/>
      <c r="B6" s="212"/>
      <c r="C6" s="72"/>
      <c r="D6" s="79"/>
      <c r="E6" s="75"/>
      <c r="F6" s="75"/>
      <c r="G6" s="75"/>
      <c r="H6" s="75"/>
      <c r="I6" s="72" t="s">
        <v>495</v>
      </c>
      <c r="J6" s="75"/>
      <c r="K6" s="72" t="s">
        <v>500</v>
      </c>
      <c r="L6" s="75" t="s">
        <v>500</v>
      </c>
      <c r="M6" s="75" t="s">
        <v>501</v>
      </c>
      <c r="N6" s="72" t="s">
        <v>502</v>
      </c>
      <c r="O6" s="75"/>
      <c r="P6" s="75"/>
      <c r="Q6" s="71"/>
      <c r="R6" s="65"/>
      <c r="S6" s="65"/>
      <c r="T6" s="65"/>
      <c r="U6" s="67"/>
      <c r="V6" s="65"/>
      <c r="W6" s="65"/>
      <c r="X6" s="65"/>
      <c r="Y6" s="65"/>
    </row>
    <row r="7" spans="1:29" ht="51">
      <c r="A7" s="88" t="s">
        <v>412</v>
      </c>
      <c r="B7" s="96" t="s">
        <v>431</v>
      </c>
      <c r="C7" s="75"/>
      <c r="D7" s="75"/>
      <c r="E7" s="75"/>
      <c r="F7" s="75"/>
      <c r="G7" s="75"/>
      <c r="H7" s="75"/>
      <c r="I7" s="75"/>
      <c r="J7" s="75"/>
      <c r="K7" s="75"/>
      <c r="L7" s="75"/>
      <c r="M7" s="75"/>
      <c r="N7" s="75"/>
      <c r="O7" s="75"/>
      <c r="P7" s="75"/>
      <c r="Q7" s="71"/>
      <c r="R7" s="65"/>
      <c r="S7" s="65"/>
      <c r="T7" s="65"/>
      <c r="U7" s="67"/>
      <c r="V7" s="65"/>
      <c r="W7" s="65"/>
      <c r="X7" s="65"/>
      <c r="Y7" s="65"/>
    </row>
    <row r="8" spans="1:29" ht="28.5">
      <c r="A8" s="189" t="s">
        <v>422</v>
      </c>
      <c r="B8" s="190" t="s">
        <v>423</v>
      </c>
      <c r="C8" s="113"/>
      <c r="D8" s="72"/>
      <c r="E8" s="75"/>
      <c r="F8" s="72" t="s">
        <v>503</v>
      </c>
      <c r="G8" s="75"/>
      <c r="H8" s="113"/>
      <c r="I8" s="72" t="s">
        <v>503</v>
      </c>
      <c r="J8" s="75"/>
      <c r="K8" s="75"/>
      <c r="L8" s="75"/>
      <c r="M8" s="75"/>
      <c r="N8" s="75"/>
      <c r="O8" s="78"/>
      <c r="P8" s="78"/>
      <c r="Q8" s="71"/>
      <c r="R8" s="65"/>
      <c r="S8" s="65"/>
      <c r="T8" s="65"/>
      <c r="U8" s="67"/>
      <c r="V8" s="65"/>
      <c r="W8" s="65"/>
      <c r="X8" s="65"/>
      <c r="Y8" s="65"/>
    </row>
    <row r="9" spans="1:29" ht="28.5">
      <c r="A9" s="210"/>
      <c r="B9" s="212"/>
      <c r="C9" s="97"/>
      <c r="D9" s="72" t="s">
        <v>504</v>
      </c>
      <c r="E9" s="75"/>
      <c r="F9" s="72" t="s">
        <v>500</v>
      </c>
      <c r="G9" s="75"/>
      <c r="H9" s="113"/>
      <c r="I9" s="72" t="s">
        <v>500</v>
      </c>
      <c r="J9" s="75"/>
      <c r="K9" s="75" t="s">
        <v>505</v>
      </c>
      <c r="L9" s="75"/>
      <c r="M9" s="75"/>
      <c r="N9" s="75"/>
      <c r="O9" s="78"/>
      <c r="P9" s="87"/>
      <c r="Q9" s="65"/>
      <c r="R9" s="65"/>
      <c r="S9" s="65"/>
      <c r="T9" s="65"/>
      <c r="U9" s="67"/>
      <c r="V9" s="65"/>
      <c r="W9" s="65"/>
      <c r="X9" s="65"/>
      <c r="Y9" s="65"/>
    </row>
    <row r="10" spans="1:29" ht="24" customHeight="1">
      <c r="A10" s="188"/>
      <c r="B10" s="204"/>
      <c r="C10" s="204"/>
      <c r="D10" s="204"/>
      <c r="E10" s="204"/>
      <c r="F10" s="204"/>
      <c r="G10" s="204"/>
      <c r="H10" s="204"/>
      <c r="I10" s="204"/>
      <c r="J10" s="204"/>
      <c r="K10" s="204"/>
      <c r="L10" s="204"/>
      <c r="M10" s="204"/>
      <c r="N10" s="204"/>
      <c r="O10" s="204"/>
      <c r="P10" s="204"/>
      <c r="Q10" s="204"/>
      <c r="R10" s="204"/>
      <c r="S10" s="204"/>
      <c r="T10" s="204"/>
      <c r="U10" s="204"/>
      <c r="V10" s="204"/>
      <c r="W10" s="204"/>
      <c r="X10" s="204"/>
      <c r="Y10" s="204"/>
      <c r="Z10" s="204"/>
      <c r="AA10" s="204"/>
      <c r="AB10" s="204"/>
      <c r="AC10" s="204"/>
    </row>
    <row r="11" spans="1:29" ht="24" customHeight="1">
      <c r="A11" s="2" t="s">
        <v>424</v>
      </c>
      <c r="B11" s="180" t="s">
        <v>506</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c r="Z11" s="9"/>
      <c r="AA11" s="9"/>
      <c r="AB11" s="9"/>
      <c r="AC11" s="9"/>
    </row>
    <row r="12" spans="1:29" ht="24" customHeight="1">
      <c r="A12" s="2" t="s">
        <v>426</v>
      </c>
      <c r="B12" s="180"/>
      <c r="C12" s="211"/>
      <c r="D12" s="211"/>
      <c r="E12" s="211"/>
      <c r="F12" s="211"/>
      <c r="G12" s="211"/>
      <c r="H12" s="211"/>
      <c r="I12" s="211"/>
      <c r="J12" s="211"/>
      <c r="K12" s="211"/>
      <c r="L12" s="211"/>
      <c r="M12" s="211"/>
      <c r="N12" s="211"/>
      <c r="O12" s="211"/>
      <c r="P12" s="211"/>
      <c r="Q12" s="211"/>
      <c r="R12" s="211"/>
      <c r="S12" s="211"/>
      <c r="T12" s="211"/>
      <c r="U12" s="211"/>
      <c r="V12" s="211"/>
      <c r="W12" s="211"/>
      <c r="X12" s="211"/>
      <c r="Y12" s="200"/>
      <c r="Z12" s="9"/>
      <c r="AA12" s="9"/>
      <c r="AB12" s="9"/>
      <c r="AC12" s="9"/>
    </row>
    <row r="13" spans="1:29" ht="24" customHeight="1">
      <c r="A13" s="2" t="s">
        <v>427</v>
      </c>
      <c r="B13" s="180"/>
      <c r="C13" s="211"/>
      <c r="D13" s="211"/>
      <c r="E13" s="211"/>
      <c r="F13" s="211"/>
      <c r="G13" s="211"/>
      <c r="H13" s="211"/>
      <c r="I13" s="211"/>
      <c r="J13" s="211"/>
      <c r="K13" s="211"/>
      <c r="L13" s="211"/>
      <c r="M13" s="211"/>
      <c r="N13" s="211"/>
      <c r="O13" s="211"/>
      <c r="P13" s="211"/>
      <c r="Q13" s="211"/>
      <c r="R13" s="211"/>
      <c r="S13" s="211"/>
      <c r="T13" s="211"/>
      <c r="U13" s="211"/>
      <c r="V13" s="211"/>
      <c r="W13" s="211"/>
      <c r="X13" s="211"/>
      <c r="Y13" s="200"/>
      <c r="Z13" s="9"/>
      <c r="AA13" s="9"/>
      <c r="AB13" s="9"/>
      <c r="AC13" s="9"/>
    </row>
    <row r="14" spans="1:29">
      <c r="A14" s="2" t="s">
        <v>333</v>
      </c>
      <c r="B14" s="180" t="s">
        <v>334</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t="s">
        <v>335</v>
      </c>
      <c r="B15" s="181" t="s">
        <v>336</v>
      </c>
      <c r="C15" s="208"/>
      <c r="D15" s="208"/>
      <c r="E15" s="208"/>
      <c r="F15" s="208"/>
      <c r="G15" s="208"/>
      <c r="H15" s="208"/>
      <c r="I15" s="208"/>
      <c r="J15" s="208"/>
      <c r="K15" s="208"/>
      <c r="L15" s="208"/>
      <c r="M15" s="208"/>
      <c r="N15" s="208"/>
      <c r="O15" s="208"/>
      <c r="P15" s="208"/>
      <c r="Q15" s="208"/>
      <c r="R15" s="208"/>
      <c r="S15" s="208"/>
      <c r="T15" s="208"/>
      <c r="U15" s="208"/>
      <c r="V15" s="208"/>
      <c r="W15" s="208"/>
      <c r="X15" s="208"/>
      <c r="Y15" s="209"/>
    </row>
    <row r="16" spans="1:29">
      <c r="A16" s="2" t="s">
        <v>337</v>
      </c>
      <c r="B16" s="180" t="s">
        <v>338</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c r="A17" s="2" t="s">
        <v>339</v>
      </c>
      <c r="B17" s="180" t="s">
        <v>340</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row r="18" spans="1:25">
      <c r="A18" s="2" t="s">
        <v>341</v>
      </c>
      <c r="B18" s="180" t="s">
        <v>342</v>
      </c>
      <c r="C18" s="211"/>
      <c r="D18" s="211"/>
      <c r="E18" s="211"/>
      <c r="F18" s="211"/>
      <c r="G18" s="211"/>
      <c r="H18" s="211"/>
      <c r="I18" s="211"/>
      <c r="J18" s="211"/>
      <c r="K18" s="211"/>
      <c r="L18" s="211"/>
      <c r="M18" s="211"/>
      <c r="N18" s="211"/>
      <c r="O18" s="211"/>
      <c r="P18" s="46"/>
      <c r="Q18" s="46"/>
      <c r="R18" s="46"/>
      <c r="S18" s="46"/>
      <c r="T18" s="46"/>
      <c r="U18" s="46"/>
      <c r="V18" s="46"/>
      <c r="W18" s="46"/>
      <c r="X18" s="46"/>
      <c r="Y18" s="46"/>
    </row>
    <row r="19" spans="1:25">
      <c r="A19" s="2" t="s">
        <v>343</v>
      </c>
      <c r="B19" s="180" t="s">
        <v>344</v>
      </c>
      <c r="C19" s="211"/>
      <c r="D19" s="211"/>
      <c r="E19" s="211"/>
      <c r="F19" s="211"/>
      <c r="G19" s="211"/>
      <c r="H19" s="211"/>
      <c r="I19" s="211"/>
      <c r="J19" s="211"/>
      <c r="K19" s="211"/>
      <c r="L19" s="211"/>
      <c r="M19" s="211"/>
      <c r="N19" s="211"/>
      <c r="O19" s="211"/>
      <c r="P19" s="46"/>
      <c r="Q19" s="46"/>
      <c r="R19" s="46"/>
      <c r="S19" s="46"/>
      <c r="T19" s="46"/>
      <c r="U19" s="46"/>
      <c r="V19" s="46"/>
      <c r="W19" s="46"/>
      <c r="X19" s="46"/>
      <c r="Y19" s="46"/>
    </row>
    <row r="20" spans="1:25">
      <c r="A20" s="2" t="s">
        <v>345</v>
      </c>
      <c r="B20" s="180" t="s">
        <v>346</v>
      </c>
      <c r="C20" s="211"/>
      <c r="D20" s="211"/>
      <c r="E20" s="211"/>
      <c r="F20" s="211"/>
      <c r="G20" s="211"/>
      <c r="H20" s="211"/>
      <c r="I20" s="211"/>
      <c r="J20" s="211"/>
      <c r="K20" s="211"/>
      <c r="L20" s="211"/>
      <c r="M20" s="211"/>
      <c r="N20" s="211"/>
      <c r="O20" s="211"/>
      <c r="P20" s="46"/>
      <c r="Q20" s="46"/>
      <c r="R20" s="46"/>
      <c r="S20" s="46"/>
      <c r="T20" s="46"/>
      <c r="U20" s="46"/>
      <c r="V20" s="46"/>
      <c r="W20" s="46"/>
      <c r="X20" s="46"/>
      <c r="Y20" s="46"/>
    </row>
    <row r="21" spans="1:25">
      <c r="A21" s="2" t="s">
        <v>347</v>
      </c>
      <c r="B21" s="180" t="s">
        <v>348</v>
      </c>
      <c r="C21" s="211"/>
      <c r="D21" s="211"/>
      <c r="E21" s="211"/>
      <c r="F21" s="211"/>
      <c r="G21" s="211"/>
      <c r="H21" s="211"/>
      <c r="I21" s="211"/>
      <c r="J21" s="211"/>
      <c r="K21" s="211"/>
      <c r="L21" s="211"/>
      <c r="M21" s="211"/>
      <c r="N21" s="211"/>
      <c r="O21" s="211"/>
      <c r="P21" s="46"/>
      <c r="Q21" s="46"/>
      <c r="R21" s="46"/>
      <c r="S21" s="46"/>
      <c r="T21" s="46"/>
      <c r="U21" s="46"/>
      <c r="V21" s="46"/>
      <c r="W21" s="46"/>
      <c r="X21" s="46"/>
      <c r="Y21" s="46"/>
    </row>
    <row r="22" spans="1:25" ht="30" customHeight="1">
      <c r="A22" s="2" t="s">
        <v>349</v>
      </c>
      <c r="B22" s="180" t="s">
        <v>350</v>
      </c>
      <c r="C22" s="211"/>
      <c r="D22" s="211"/>
      <c r="E22" s="211"/>
      <c r="F22" s="211"/>
      <c r="G22" s="211"/>
      <c r="H22" s="211"/>
      <c r="I22" s="211"/>
      <c r="J22" s="211"/>
      <c r="K22" s="211"/>
      <c r="L22" s="211"/>
      <c r="M22" s="211"/>
      <c r="N22" s="211"/>
      <c r="O22" s="211"/>
      <c r="P22" s="46"/>
      <c r="Q22" s="46"/>
      <c r="R22" s="46"/>
      <c r="S22" s="46"/>
      <c r="T22" s="46"/>
      <c r="U22" s="46"/>
      <c r="V22" s="46"/>
      <c r="W22" s="46"/>
      <c r="X22" s="46"/>
      <c r="Y22" s="46"/>
    </row>
    <row r="23" spans="1:25" ht="15.75" customHeight="1">
      <c r="A23" s="2" t="s">
        <v>351</v>
      </c>
      <c r="B23" s="180" t="s">
        <v>352</v>
      </c>
      <c r="C23" s="211"/>
      <c r="D23" s="211"/>
      <c r="E23" s="211"/>
      <c r="F23" s="211"/>
      <c r="G23" s="211"/>
      <c r="H23" s="211"/>
      <c r="I23" s="211"/>
      <c r="J23" s="211"/>
      <c r="K23" s="211"/>
      <c r="L23" s="211"/>
      <c r="M23" s="211"/>
      <c r="N23" s="211"/>
      <c r="O23" s="211"/>
      <c r="P23" s="46"/>
      <c r="Q23" s="46"/>
      <c r="R23" s="46"/>
      <c r="S23" s="46"/>
      <c r="T23" s="46"/>
      <c r="U23" s="46"/>
      <c r="V23" s="46"/>
      <c r="W23" s="46"/>
      <c r="X23" s="46"/>
      <c r="Y23" s="46"/>
    </row>
    <row r="24" spans="1:25" ht="27" customHeight="1">
      <c r="A24" s="2" t="s">
        <v>353</v>
      </c>
      <c r="B24" s="180" t="s">
        <v>354</v>
      </c>
      <c r="C24" s="211"/>
      <c r="D24" s="211"/>
      <c r="E24" s="211"/>
      <c r="F24" s="211"/>
      <c r="G24" s="211"/>
      <c r="H24" s="211"/>
      <c r="I24" s="211"/>
      <c r="J24" s="211"/>
      <c r="K24" s="211"/>
      <c r="L24" s="211"/>
      <c r="M24" s="211"/>
      <c r="N24" s="211"/>
      <c r="O24" s="211"/>
      <c r="P24" s="46"/>
      <c r="Q24" s="46"/>
      <c r="R24" s="46"/>
      <c r="S24" s="46"/>
      <c r="T24" s="46"/>
      <c r="U24" s="46"/>
      <c r="V24" s="46"/>
      <c r="W24" s="46"/>
      <c r="X24" s="46"/>
      <c r="Y24" s="46"/>
    </row>
    <row r="25" spans="1:25" ht="15.75" customHeight="1">
      <c r="A25" s="2" t="s">
        <v>355</v>
      </c>
      <c r="B25" s="180" t="s">
        <v>356</v>
      </c>
      <c r="C25" s="211"/>
      <c r="D25" s="211"/>
      <c r="E25" s="211"/>
      <c r="F25" s="211"/>
      <c r="G25" s="211"/>
      <c r="H25" s="211"/>
      <c r="I25" s="211"/>
      <c r="J25" s="211"/>
      <c r="K25" s="211"/>
      <c r="L25" s="211"/>
      <c r="M25" s="211"/>
      <c r="N25" s="211"/>
      <c r="O25" s="211"/>
      <c r="P25" s="46"/>
      <c r="Q25" s="46"/>
      <c r="R25" s="46"/>
      <c r="S25" s="46"/>
      <c r="T25" s="46"/>
      <c r="U25" s="46"/>
      <c r="V25" s="46"/>
      <c r="W25" s="46"/>
      <c r="X25" s="46"/>
      <c r="Y25" s="46"/>
    </row>
    <row r="26" spans="1:25" ht="15.75" customHeight="1">
      <c r="A26" s="117"/>
      <c r="B26" s="180" t="s">
        <v>507</v>
      </c>
      <c r="C26" s="211"/>
      <c r="D26" s="211"/>
      <c r="E26" s="211"/>
      <c r="F26" s="211"/>
      <c r="G26" s="211"/>
      <c r="H26" s="211"/>
      <c r="I26" s="211"/>
      <c r="J26" s="211"/>
      <c r="K26" s="211"/>
      <c r="L26" s="211"/>
      <c r="M26" s="211"/>
      <c r="N26" s="211"/>
      <c r="O26" s="211"/>
      <c r="P26" s="46"/>
      <c r="Q26" s="46"/>
      <c r="R26" s="46"/>
      <c r="S26" s="46"/>
      <c r="T26" s="46"/>
      <c r="U26" s="46"/>
      <c r="V26" s="46"/>
      <c r="W26" s="46"/>
      <c r="X26" s="46"/>
      <c r="Y26" s="46"/>
    </row>
  </sheetData>
  <mergeCells count="22">
    <mergeCell ref="B22:O22"/>
    <mergeCell ref="B23:O23"/>
    <mergeCell ref="B24:O24"/>
    <mergeCell ref="B25:O25"/>
    <mergeCell ref="B26:O26"/>
    <mergeCell ref="A10:AC10"/>
    <mergeCell ref="B11:Y11"/>
    <mergeCell ref="B19:O19"/>
    <mergeCell ref="B20:O20"/>
    <mergeCell ref="B21:O21"/>
    <mergeCell ref="B12:Y12"/>
    <mergeCell ref="B13:Y13"/>
    <mergeCell ref="B14:Y14"/>
    <mergeCell ref="B15:Y15"/>
    <mergeCell ref="B16:Y16"/>
    <mergeCell ref="B17:Y17"/>
    <mergeCell ref="B18:O18"/>
    <mergeCell ref="AA1:AC2"/>
    <mergeCell ref="A5:A6"/>
    <mergeCell ref="B5:B6"/>
    <mergeCell ref="A8:A9"/>
    <mergeCell ref="B8:B9"/>
  </mergeCells>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C14"/>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98.25" customHeight="1">
      <c r="A1" s="51" t="s">
        <v>373</v>
      </c>
      <c r="B1" s="77" t="s">
        <v>374</v>
      </c>
      <c r="C1" s="80" t="s">
        <v>375</v>
      </c>
      <c r="D1" s="54"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87"/>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65"/>
      <c r="L3" s="65"/>
      <c r="M3" s="65"/>
      <c r="N3" s="65"/>
      <c r="O3" s="65"/>
      <c r="P3" s="65"/>
      <c r="Q3" s="65"/>
      <c r="R3" s="65"/>
      <c r="S3" s="65"/>
      <c r="T3" s="65"/>
      <c r="U3" s="67"/>
      <c r="V3" s="65"/>
      <c r="W3" s="65"/>
      <c r="X3" s="65"/>
      <c r="Y3" s="65"/>
    </row>
    <row r="4" spans="1:29" ht="63.75">
      <c r="A4" s="68" t="s">
        <v>406</v>
      </c>
      <c r="B4" s="63" t="s">
        <v>407</v>
      </c>
      <c r="C4" s="65"/>
      <c r="D4" s="66"/>
      <c r="E4" s="65"/>
      <c r="F4" s="115"/>
      <c r="G4" s="115"/>
      <c r="H4" s="65"/>
      <c r="I4" s="65"/>
      <c r="J4" s="65"/>
      <c r="K4" s="79"/>
      <c r="L4" s="79"/>
      <c r="M4" s="65"/>
      <c r="N4" s="65"/>
      <c r="O4" s="116"/>
      <c r="P4" s="65"/>
      <c r="Q4" s="65"/>
      <c r="R4" s="65"/>
      <c r="S4" s="65"/>
      <c r="T4" s="65"/>
      <c r="U4" s="67"/>
      <c r="V4" s="65"/>
      <c r="W4" s="65"/>
      <c r="X4" s="65"/>
      <c r="Y4" s="65"/>
    </row>
    <row r="5" spans="1:29" ht="51">
      <c r="A5" s="68" t="s">
        <v>410</v>
      </c>
      <c r="B5" s="63" t="s">
        <v>411</v>
      </c>
      <c r="C5" s="73"/>
      <c r="D5" s="79"/>
      <c r="E5" s="71"/>
      <c r="F5" s="65"/>
      <c r="G5" s="116"/>
      <c r="H5" s="65"/>
      <c r="I5" s="65"/>
      <c r="J5" s="65"/>
      <c r="K5" s="65"/>
      <c r="L5" s="65"/>
      <c r="M5" s="65"/>
      <c r="N5" s="116"/>
      <c r="O5" s="65"/>
      <c r="P5" s="65"/>
      <c r="Q5" s="65"/>
      <c r="R5" s="65"/>
      <c r="S5" s="65"/>
      <c r="T5" s="65"/>
      <c r="U5" s="67"/>
      <c r="V5" s="65"/>
      <c r="W5" s="65"/>
      <c r="X5" s="65"/>
      <c r="Y5" s="65"/>
    </row>
    <row r="6" spans="1:29" ht="51">
      <c r="A6" s="88" t="s">
        <v>412</v>
      </c>
      <c r="B6" s="89" t="s">
        <v>431</v>
      </c>
      <c r="C6" s="71"/>
      <c r="D6" s="87"/>
      <c r="E6" s="65" t="s">
        <v>508</v>
      </c>
      <c r="F6" s="65"/>
      <c r="G6" s="115"/>
      <c r="H6" s="65"/>
      <c r="I6" s="65"/>
      <c r="J6" s="65"/>
      <c r="K6" s="65" t="s">
        <v>508</v>
      </c>
      <c r="L6" s="65"/>
      <c r="M6" s="65"/>
      <c r="N6" s="65" t="s">
        <v>508</v>
      </c>
      <c r="O6" s="65"/>
      <c r="P6" s="65"/>
      <c r="Q6" s="65" t="s">
        <v>508</v>
      </c>
      <c r="R6" s="65"/>
      <c r="S6" s="65"/>
      <c r="T6" s="65"/>
      <c r="U6" s="67"/>
      <c r="V6" s="65"/>
      <c r="W6" s="65"/>
      <c r="X6" s="65"/>
      <c r="Y6" s="65"/>
    </row>
    <row r="7" spans="1:29" ht="51">
      <c r="A7" s="68" t="s">
        <v>422</v>
      </c>
      <c r="B7" s="90" t="s">
        <v>423</v>
      </c>
      <c r="C7" s="65"/>
      <c r="D7" s="65"/>
      <c r="E7" s="65" t="s">
        <v>508</v>
      </c>
      <c r="F7" s="65"/>
      <c r="G7" s="65"/>
      <c r="H7" s="65"/>
      <c r="I7" s="65"/>
      <c r="J7" s="65"/>
      <c r="K7" s="65" t="s">
        <v>508</v>
      </c>
      <c r="L7" s="65"/>
      <c r="M7" s="65"/>
      <c r="N7" s="65" t="s">
        <v>508</v>
      </c>
      <c r="O7" s="65"/>
      <c r="P7" s="65"/>
      <c r="Q7" s="65" t="s">
        <v>508</v>
      </c>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ht="24" customHeight="1">
      <c r="A9" s="2" t="s">
        <v>424</v>
      </c>
      <c r="B9" s="180" t="s">
        <v>509</v>
      </c>
      <c r="C9" s="211"/>
      <c r="D9" s="211"/>
      <c r="E9" s="211"/>
      <c r="F9" s="211"/>
      <c r="G9" s="211"/>
      <c r="H9" s="211"/>
      <c r="I9" s="211"/>
      <c r="J9" s="211"/>
      <c r="K9" s="211"/>
      <c r="L9" s="211"/>
      <c r="M9" s="211"/>
      <c r="N9" s="211"/>
      <c r="O9" s="211"/>
      <c r="P9" s="211"/>
      <c r="Q9" s="211"/>
      <c r="R9" s="211"/>
      <c r="S9" s="211"/>
      <c r="T9" s="211"/>
      <c r="U9" s="211"/>
      <c r="V9" s="211"/>
      <c r="W9" s="211"/>
      <c r="X9" s="211"/>
      <c r="Y9" s="200"/>
      <c r="Z9" s="9"/>
      <c r="AA9" s="9"/>
      <c r="AB9" s="9"/>
      <c r="AC9" s="9"/>
    </row>
    <row r="10" spans="1:29" ht="24" customHeight="1">
      <c r="A10" s="2" t="s">
        <v>426</v>
      </c>
      <c r="B10" s="180" t="s">
        <v>510</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c r="Z10" s="9"/>
      <c r="AA10" s="9"/>
      <c r="AB10" s="9"/>
      <c r="AC10" s="9"/>
    </row>
    <row r="11" spans="1:29" ht="24" customHeight="1">
      <c r="A11" s="2" t="s">
        <v>427</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c r="Z11" s="9"/>
      <c r="AA11" s="9"/>
      <c r="AB11" s="9"/>
      <c r="AC11" s="9"/>
    </row>
    <row r="12" spans="1:29">
      <c r="A12" s="2" t="s">
        <v>511</v>
      </c>
      <c r="B12" s="180" t="s">
        <v>512</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c r="B13" s="181"/>
      <c r="C13" s="208"/>
      <c r="D13" s="208"/>
      <c r="E13" s="208"/>
      <c r="F13" s="208"/>
      <c r="G13" s="208"/>
      <c r="H13" s="208"/>
      <c r="I13" s="208"/>
      <c r="J13" s="208"/>
      <c r="K13" s="208"/>
      <c r="L13" s="208"/>
      <c r="M13" s="208"/>
      <c r="N13" s="208"/>
      <c r="O13" s="208"/>
      <c r="P13" s="208"/>
      <c r="Q13" s="208"/>
      <c r="R13" s="208"/>
      <c r="S13" s="208"/>
      <c r="T13" s="208"/>
      <c r="U13" s="208"/>
      <c r="V13" s="208"/>
      <c r="W13" s="208"/>
      <c r="X13" s="208"/>
      <c r="Y13" s="209"/>
    </row>
    <row r="14" spans="1:29">
      <c r="A14" s="79"/>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sheetData>
  <mergeCells count="8">
    <mergeCell ref="B12:Y12"/>
    <mergeCell ref="B13:Y13"/>
    <mergeCell ref="B14:Y14"/>
    <mergeCell ref="AA1:AC2"/>
    <mergeCell ref="A8:AC8"/>
    <mergeCell ref="B9:Y9"/>
    <mergeCell ref="B10:Y10"/>
    <mergeCell ref="B11:Y11"/>
  </mergeCell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C12"/>
  <sheetViews>
    <sheetView workbookViewId="0"/>
  </sheetViews>
  <sheetFormatPr defaultColWidth="12.5703125" defaultRowHeight="15" customHeight="1"/>
  <cols>
    <col min="1" max="1" width="20.7109375" customWidth="1"/>
    <col min="2" max="25" width="19.7109375" customWidth="1"/>
    <col min="26" max="29" width="8.85546875" customWidth="1"/>
  </cols>
  <sheetData>
    <row r="1" spans="1:29" ht="93" customHeight="1">
      <c r="A1" s="51"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65"/>
      <c r="L3" s="65"/>
      <c r="M3" s="65"/>
      <c r="N3" s="65"/>
      <c r="O3" s="65"/>
      <c r="P3" s="65"/>
      <c r="Q3" s="65"/>
      <c r="R3" s="65"/>
      <c r="S3" s="65"/>
      <c r="T3" s="65"/>
      <c r="U3" s="67"/>
      <c r="V3" s="65"/>
      <c r="W3" s="65"/>
      <c r="X3" s="65"/>
      <c r="Y3" s="65"/>
    </row>
    <row r="4" spans="1:29" ht="63.75">
      <c r="A4" s="68" t="s">
        <v>406</v>
      </c>
      <c r="B4" s="63" t="s">
        <v>407</v>
      </c>
      <c r="C4" s="65"/>
      <c r="D4" s="66"/>
      <c r="E4" s="65"/>
      <c r="F4" s="115"/>
      <c r="G4" s="115"/>
      <c r="H4" s="65"/>
      <c r="I4" s="65"/>
      <c r="J4" s="65"/>
      <c r="K4" s="79"/>
      <c r="L4" s="79"/>
      <c r="M4" s="65"/>
      <c r="N4" s="65"/>
      <c r="O4" s="116"/>
      <c r="P4" s="65"/>
      <c r="Q4" s="65"/>
      <c r="R4" s="65"/>
      <c r="S4" s="65"/>
      <c r="T4" s="65"/>
      <c r="U4" s="67"/>
      <c r="V4" s="65"/>
      <c r="W4" s="65"/>
      <c r="X4" s="65"/>
      <c r="Y4" s="65"/>
    </row>
    <row r="5" spans="1:29" ht="51">
      <c r="A5" s="68" t="s">
        <v>410</v>
      </c>
      <c r="B5" s="63" t="s">
        <v>411</v>
      </c>
      <c r="C5" s="73"/>
      <c r="D5" s="79"/>
      <c r="E5" s="71"/>
      <c r="F5" s="65"/>
      <c r="G5" s="116"/>
      <c r="H5" s="65"/>
      <c r="I5" s="65"/>
      <c r="J5" s="65"/>
      <c r="K5" s="65"/>
      <c r="L5" s="65"/>
      <c r="M5" s="65"/>
      <c r="N5" s="116"/>
      <c r="O5" s="65"/>
      <c r="P5" s="65"/>
      <c r="Q5" s="65"/>
      <c r="R5" s="65"/>
      <c r="S5" s="65"/>
      <c r="T5" s="65"/>
      <c r="U5" s="67"/>
      <c r="V5" s="65"/>
      <c r="W5" s="65"/>
      <c r="X5" s="65"/>
      <c r="Y5" s="65"/>
    </row>
    <row r="6" spans="1:29" ht="51">
      <c r="A6" s="95" t="s">
        <v>412</v>
      </c>
      <c r="B6" s="96" t="s">
        <v>431</v>
      </c>
      <c r="C6" s="65"/>
      <c r="D6" s="87"/>
      <c r="E6" s="65"/>
      <c r="F6" s="65"/>
      <c r="G6" s="115"/>
      <c r="H6" s="65"/>
      <c r="I6" s="65"/>
      <c r="J6" s="65"/>
      <c r="K6" s="65"/>
      <c r="L6" s="65" t="s">
        <v>513</v>
      </c>
      <c r="M6" s="65"/>
      <c r="N6" s="65"/>
      <c r="O6" s="65"/>
      <c r="P6" s="65"/>
      <c r="Q6" s="65"/>
      <c r="R6" s="65"/>
      <c r="S6" s="65"/>
      <c r="T6" s="65"/>
      <c r="U6" s="67"/>
      <c r="V6" s="65"/>
      <c r="W6" s="65"/>
      <c r="X6" s="65"/>
      <c r="Y6" s="65"/>
    </row>
    <row r="7" spans="1:29" ht="38.25">
      <c r="A7" s="86"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514</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426</v>
      </c>
      <c r="B10" s="180" t="s">
        <v>515</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427</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c r="A12" s="2" t="s">
        <v>516</v>
      </c>
      <c r="B12" s="180" t="s">
        <v>517</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C12"/>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44.75" customHeight="1">
      <c r="A1" s="76" t="s">
        <v>373</v>
      </c>
      <c r="B1" s="98" t="s">
        <v>374</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65"/>
      <c r="L3" s="65"/>
      <c r="M3" s="65"/>
      <c r="N3" s="65"/>
      <c r="O3" s="65"/>
      <c r="P3" s="65"/>
      <c r="Q3" s="65"/>
      <c r="R3" s="65"/>
      <c r="S3" s="65"/>
      <c r="T3" s="65"/>
      <c r="U3" s="67"/>
      <c r="V3" s="65"/>
      <c r="W3" s="65"/>
      <c r="X3" s="65"/>
      <c r="Y3" s="65"/>
    </row>
    <row r="4" spans="1:29" ht="63.75">
      <c r="A4" s="68" t="s">
        <v>406</v>
      </c>
      <c r="B4" s="63" t="s">
        <v>407</v>
      </c>
      <c r="C4" s="65"/>
      <c r="D4" s="66"/>
      <c r="E4" s="65"/>
      <c r="F4" s="65"/>
      <c r="G4" s="65"/>
      <c r="H4" s="65"/>
      <c r="I4" s="65" t="s">
        <v>518</v>
      </c>
      <c r="J4" s="65" t="s">
        <v>518</v>
      </c>
      <c r="K4" s="79"/>
      <c r="L4" s="79"/>
      <c r="M4" s="65" t="s">
        <v>518</v>
      </c>
      <c r="N4" s="65"/>
      <c r="O4" s="65"/>
      <c r="P4" s="65"/>
      <c r="Q4" s="65"/>
      <c r="R4" s="65"/>
      <c r="S4" s="65"/>
      <c r="T4" s="65"/>
      <c r="U4" s="67"/>
      <c r="V4" s="65"/>
      <c r="W4" s="65"/>
      <c r="X4" s="65"/>
      <c r="Y4" s="65"/>
    </row>
    <row r="5" spans="1:29" ht="51">
      <c r="A5" s="68" t="s">
        <v>410</v>
      </c>
      <c r="B5" s="63" t="s">
        <v>411</v>
      </c>
      <c r="C5" s="73"/>
      <c r="D5" s="79"/>
      <c r="E5" s="71"/>
      <c r="F5" s="65"/>
      <c r="G5" s="65"/>
      <c r="H5" s="65"/>
      <c r="I5" s="65"/>
      <c r="J5" s="65"/>
      <c r="K5" s="65"/>
      <c r="L5" s="65"/>
      <c r="M5" s="65"/>
      <c r="N5" s="65"/>
      <c r="O5" s="65"/>
      <c r="P5" s="65"/>
      <c r="Q5" s="65"/>
      <c r="R5" s="65"/>
      <c r="S5" s="65"/>
      <c r="T5" s="65"/>
      <c r="U5" s="67"/>
      <c r="V5" s="65"/>
      <c r="W5" s="65"/>
      <c r="X5" s="65"/>
      <c r="Y5" s="65"/>
    </row>
    <row r="6" spans="1:29" ht="51">
      <c r="A6" s="88" t="s">
        <v>412</v>
      </c>
      <c r="B6" s="96" t="s">
        <v>431</v>
      </c>
      <c r="C6" s="65"/>
      <c r="D6" s="87"/>
      <c r="E6" s="65"/>
      <c r="F6" s="65"/>
      <c r="G6" s="65"/>
      <c r="H6" s="65"/>
      <c r="I6" s="65"/>
      <c r="J6" s="65"/>
      <c r="K6" s="65"/>
      <c r="L6" s="65"/>
      <c r="M6" s="65"/>
      <c r="N6" s="65"/>
      <c r="O6" s="65"/>
      <c r="P6" s="65"/>
      <c r="Q6" s="65"/>
      <c r="R6" s="65"/>
      <c r="S6" s="65"/>
      <c r="T6" s="65"/>
      <c r="U6" s="67"/>
      <c r="V6" s="65"/>
      <c r="W6" s="65"/>
      <c r="X6" s="65"/>
      <c r="Y6" s="65"/>
    </row>
    <row r="7" spans="1:29" ht="5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514</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426</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7" customHeight="1">
      <c r="A11" s="2" t="s">
        <v>427</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ht="16.5" customHeight="1">
      <c r="A12" s="2" t="s">
        <v>519</v>
      </c>
      <c r="B12" s="180" t="s">
        <v>520</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C12"/>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29.75" customHeight="1">
      <c r="A1" s="51"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90" t="s">
        <v>400</v>
      </c>
      <c r="C2" s="65"/>
      <c r="D2" s="65"/>
      <c r="E2" s="65"/>
      <c r="F2" s="65"/>
      <c r="G2" s="116"/>
      <c r="H2" s="65"/>
      <c r="I2" s="65"/>
      <c r="J2" s="116"/>
      <c r="K2" s="65"/>
      <c r="L2" s="65"/>
      <c r="M2" s="65"/>
      <c r="N2" s="65" t="s">
        <v>521</v>
      </c>
      <c r="O2" s="65"/>
      <c r="P2" s="65"/>
      <c r="Q2" s="65"/>
      <c r="R2" s="65"/>
      <c r="S2" s="65"/>
      <c r="T2" s="65"/>
      <c r="U2" s="67"/>
      <c r="V2" s="65"/>
      <c r="W2" s="65"/>
      <c r="X2" s="65"/>
      <c r="Y2" s="65"/>
      <c r="AA2" s="207"/>
      <c r="AB2" s="208"/>
      <c r="AC2" s="209"/>
    </row>
    <row r="3" spans="1:29" ht="51">
      <c r="A3" s="68" t="s">
        <v>402</v>
      </c>
      <c r="B3" s="63" t="s">
        <v>403</v>
      </c>
      <c r="C3" s="65" t="s">
        <v>521</v>
      </c>
      <c r="D3" s="65"/>
      <c r="E3" s="65"/>
      <c r="F3" s="65"/>
      <c r="G3" s="65"/>
      <c r="H3" s="65"/>
      <c r="I3" s="65"/>
      <c r="J3" s="65" t="s">
        <v>521</v>
      </c>
      <c r="K3" s="65"/>
      <c r="L3" s="65"/>
      <c r="M3" s="65"/>
      <c r="N3" s="116"/>
      <c r="O3" s="65"/>
      <c r="P3" s="65"/>
      <c r="Q3" s="65"/>
      <c r="R3" s="65"/>
      <c r="S3" s="65"/>
      <c r="T3" s="65"/>
      <c r="U3" s="67"/>
      <c r="V3" s="65"/>
      <c r="W3" s="65"/>
      <c r="X3" s="65"/>
      <c r="Y3" s="65"/>
    </row>
    <row r="4" spans="1:29" ht="63.75">
      <c r="A4" s="68" t="s">
        <v>406</v>
      </c>
      <c r="B4" s="63" t="s">
        <v>407</v>
      </c>
      <c r="C4" s="65"/>
      <c r="D4" s="66"/>
      <c r="E4" s="65"/>
      <c r="F4" s="65"/>
      <c r="G4" s="65"/>
      <c r="H4" s="65"/>
      <c r="I4" s="65"/>
      <c r="J4" s="65"/>
      <c r="K4" s="79"/>
      <c r="L4" s="79"/>
      <c r="M4" s="65"/>
      <c r="N4" s="65"/>
      <c r="O4" s="65"/>
      <c r="P4" s="65"/>
      <c r="Q4" s="65"/>
      <c r="R4" s="65"/>
      <c r="S4" s="65"/>
      <c r="T4" s="65"/>
      <c r="U4" s="67"/>
      <c r="V4" s="65"/>
      <c r="W4" s="65"/>
      <c r="X4" s="65"/>
      <c r="Y4" s="65"/>
    </row>
    <row r="5" spans="1:29" ht="51">
      <c r="A5" s="68" t="s">
        <v>410</v>
      </c>
      <c r="B5" s="63" t="s">
        <v>411</v>
      </c>
      <c r="C5" s="73"/>
      <c r="D5" s="79"/>
      <c r="E5" s="71"/>
      <c r="F5" s="65"/>
      <c r="G5" s="65"/>
      <c r="H5" s="65"/>
      <c r="I5" s="65"/>
      <c r="J5" s="65"/>
      <c r="K5" s="65"/>
      <c r="L5" s="65"/>
      <c r="M5" s="65"/>
      <c r="N5" s="65"/>
      <c r="O5" s="65"/>
      <c r="P5" s="65"/>
      <c r="Q5" s="65"/>
      <c r="R5" s="65"/>
      <c r="S5" s="65"/>
      <c r="T5" s="65"/>
      <c r="U5" s="67"/>
      <c r="V5" s="65"/>
      <c r="W5" s="65"/>
      <c r="X5" s="65"/>
      <c r="Y5" s="65"/>
    </row>
    <row r="6" spans="1:29" ht="51">
      <c r="A6" s="88" t="s">
        <v>412</v>
      </c>
      <c r="B6" s="96" t="s">
        <v>431</v>
      </c>
      <c r="C6" s="65"/>
      <c r="D6" s="87"/>
      <c r="E6" s="65"/>
      <c r="F6" s="65"/>
      <c r="G6" s="65"/>
      <c r="H6" s="65"/>
      <c r="I6" s="65"/>
      <c r="J6" s="65"/>
      <c r="K6" s="65"/>
      <c r="L6" s="65"/>
      <c r="M6" s="65"/>
      <c r="N6" s="65"/>
      <c r="O6" s="65"/>
      <c r="P6" s="65"/>
      <c r="Q6" s="65"/>
      <c r="R6" s="65"/>
      <c r="S6" s="65"/>
      <c r="T6" s="65"/>
      <c r="U6" s="67"/>
      <c r="V6" s="65"/>
      <c r="W6" s="65"/>
      <c r="X6" s="65"/>
      <c r="Y6" s="65"/>
    </row>
    <row r="7" spans="1:29" ht="5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514</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426</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427</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ht="34.5" customHeight="1">
      <c r="A12" s="2" t="s">
        <v>522</v>
      </c>
      <c r="B12" s="180" t="s">
        <v>523</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C12"/>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5" customHeight="1">
      <c r="A1" s="51"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ustomHeight="1">
      <c r="A2" s="62" t="s">
        <v>399</v>
      </c>
      <c r="B2" s="90" t="s">
        <v>400</v>
      </c>
      <c r="C2" s="65"/>
      <c r="D2" s="65"/>
      <c r="E2" s="65"/>
      <c r="F2" s="65" t="s">
        <v>524</v>
      </c>
      <c r="G2" s="65" t="s">
        <v>524</v>
      </c>
      <c r="H2" s="65"/>
      <c r="I2" s="65"/>
      <c r="J2" s="65"/>
      <c r="K2" s="65"/>
      <c r="L2" s="65"/>
      <c r="M2" s="65"/>
      <c r="N2" s="65"/>
      <c r="O2" s="65"/>
      <c r="P2" s="65"/>
      <c r="Q2" s="65"/>
      <c r="R2" s="65"/>
      <c r="S2" s="65"/>
      <c r="T2" s="65"/>
      <c r="U2" s="67"/>
      <c r="V2" s="65"/>
      <c r="W2" s="65"/>
      <c r="X2" s="65"/>
      <c r="Y2" s="65"/>
      <c r="AA2" s="207"/>
      <c r="AB2" s="208"/>
      <c r="AC2" s="209"/>
    </row>
    <row r="3" spans="1:29" ht="51" customHeight="1">
      <c r="A3" s="68" t="s">
        <v>402</v>
      </c>
      <c r="B3" s="63" t="s">
        <v>403</v>
      </c>
      <c r="C3" s="65"/>
      <c r="D3" s="65"/>
      <c r="E3" s="65"/>
      <c r="F3" s="65"/>
      <c r="G3" s="65"/>
      <c r="H3" s="65"/>
      <c r="I3" s="65"/>
      <c r="J3" s="65"/>
      <c r="K3" s="65"/>
      <c r="L3" s="65"/>
      <c r="M3" s="65"/>
      <c r="N3" s="65"/>
      <c r="O3" s="65"/>
      <c r="P3" s="65"/>
      <c r="Q3" s="65"/>
      <c r="R3" s="65"/>
      <c r="S3" s="65"/>
      <c r="T3" s="65"/>
      <c r="U3" s="67"/>
      <c r="V3" s="65"/>
      <c r="W3" s="65"/>
      <c r="X3" s="65"/>
      <c r="Y3" s="65"/>
    </row>
    <row r="4" spans="1:29" ht="63.75" customHeight="1">
      <c r="A4" s="68" t="s">
        <v>406</v>
      </c>
      <c r="B4" s="63" t="s">
        <v>407</v>
      </c>
      <c r="C4" s="65"/>
      <c r="D4" s="66"/>
      <c r="E4" s="65"/>
      <c r="F4" s="65"/>
      <c r="G4" s="65"/>
      <c r="H4" s="65"/>
      <c r="I4" s="65"/>
      <c r="J4" s="65"/>
      <c r="K4" s="79"/>
      <c r="L4" s="79"/>
      <c r="M4" s="65"/>
      <c r="N4" s="65"/>
      <c r="O4" s="65"/>
      <c r="P4" s="65"/>
      <c r="Q4" s="65"/>
      <c r="R4" s="65"/>
      <c r="S4" s="65"/>
      <c r="T4" s="65"/>
      <c r="U4" s="67"/>
      <c r="V4" s="65"/>
      <c r="W4" s="65"/>
      <c r="X4" s="65"/>
      <c r="Y4" s="65"/>
    </row>
    <row r="5" spans="1:29" ht="51" customHeight="1">
      <c r="A5" s="68" t="s">
        <v>410</v>
      </c>
      <c r="B5" s="63" t="s">
        <v>411</v>
      </c>
      <c r="C5" s="73"/>
      <c r="D5" s="79"/>
      <c r="E5" s="71"/>
      <c r="F5" s="65"/>
      <c r="G5" s="65"/>
      <c r="H5" s="65"/>
      <c r="I5" s="65"/>
      <c r="J5" s="65"/>
      <c r="K5" s="65"/>
      <c r="L5" s="65"/>
      <c r="M5" s="65"/>
      <c r="N5" s="65"/>
      <c r="O5" s="65"/>
      <c r="P5" s="65"/>
      <c r="Q5" s="65"/>
      <c r="R5" s="65"/>
      <c r="S5" s="65"/>
      <c r="T5" s="65"/>
      <c r="U5" s="67"/>
      <c r="V5" s="65"/>
      <c r="W5" s="65"/>
      <c r="X5" s="65"/>
      <c r="Y5" s="65"/>
    </row>
    <row r="6" spans="1:29" ht="51" customHeight="1">
      <c r="A6" s="88" t="s">
        <v>412</v>
      </c>
      <c r="B6" s="96" t="s">
        <v>431</v>
      </c>
      <c r="C6" s="65"/>
      <c r="D6" s="87"/>
      <c r="E6" s="65"/>
      <c r="F6" s="65"/>
      <c r="G6" s="65"/>
      <c r="H6" s="65"/>
      <c r="I6" s="65"/>
      <c r="J6" s="65"/>
      <c r="K6" s="65"/>
      <c r="L6" s="65"/>
      <c r="M6" s="65"/>
      <c r="N6" s="65"/>
      <c r="O6" s="65"/>
      <c r="P6" s="65"/>
      <c r="Q6" s="65"/>
      <c r="R6" s="65"/>
      <c r="S6" s="65"/>
      <c r="T6" s="65"/>
      <c r="U6" s="67"/>
      <c r="V6" s="65"/>
      <c r="W6" s="65"/>
      <c r="X6" s="65"/>
      <c r="Y6" s="65"/>
    </row>
    <row r="7" spans="1:29" ht="5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525</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426</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427</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ht="51" customHeight="1">
      <c r="A12" s="2" t="s">
        <v>526</v>
      </c>
      <c r="B12" s="180" t="s">
        <v>527</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C12"/>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69.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65"/>
      <c r="L3" s="65"/>
      <c r="M3" s="65"/>
      <c r="N3" s="65"/>
      <c r="O3" s="65"/>
      <c r="P3" s="65"/>
      <c r="Q3" s="65"/>
      <c r="R3" s="65"/>
      <c r="S3" s="65"/>
      <c r="T3" s="65"/>
      <c r="U3" s="67"/>
      <c r="V3" s="65"/>
      <c r="W3" s="65"/>
      <c r="X3" s="65"/>
      <c r="Y3" s="65"/>
    </row>
    <row r="4" spans="1:29" ht="63.75">
      <c r="A4" s="68" t="s">
        <v>406</v>
      </c>
      <c r="B4" s="63" t="s">
        <v>407</v>
      </c>
      <c r="C4" s="65"/>
      <c r="D4" s="66"/>
      <c r="E4" s="65"/>
      <c r="F4" s="65" t="s">
        <v>528</v>
      </c>
      <c r="G4" s="65" t="s">
        <v>528</v>
      </c>
      <c r="H4" s="65"/>
      <c r="I4" s="65"/>
      <c r="J4" s="65"/>
      <c r="K4" s="79"/>
      <c r="L4" s="79"/>
      <c r="M4" s="65"/>
      <c r="N4" s="65"/>
      <c r="O4" s="65" t="s">
        <v>529</v>
      </c>
      <c r="P4" s="65"/>
      <c r="Q4" s="65"/>
      <c r="R4" s="65"/>
      <c r="S4" s="65"/>
      <c r="T4" s="65"/>
      <c r="U4" s="67"/>
      <c r="V4" s="65"/>
      <c r="W4" s="65"/>
      <c r="X4" s="65"/>
      <c r="Y4" s="65"/>
    </row>
    <row r="5" spans="1:29" ht="51">
      <c r="A5" s="68" t="s">
        <v>410</v>
      </c>
      <c r="B5" s="63" t="s">
        <v>411</v>
      </c>
      <c r="C5" s="73"/>
      <c r="D5" s="79"/>
      <c r="E5" s="71"/>
      <c r="F5" s="65"/>
      <c r="G5" s="65"/>
      <c r="H5" s="65"/>
      <c r="I5" s="65"/>
      <c r="J5" s="65"/>
      <c r="K5" s="65"/>
      <c r="L5" s="65"/>
      <c r="M5" s="65"/>
      <c r="N5" s="65"/>
      <c r="O5" s="65"/>
      <c r="P5" s="65"/>
      <c r="Q5" s="65"/>
      <c r="R5" s="65"/>
      <c r="S5" s="65"/>
      <c r="T5" s="65"/>
      <c r="U5" s="67"/>
      <c r="V5" s="65"/>
      <c r="W5" s="65"/>
      <c r="X5" s="65"/>
      <c r="Y5" s="65"/>
    </row>
    <row r="6" spans="1:29" ht="51">
      <c r="A6" s="88" t="s">
        <v>412</v>
      </c>
      <c r="B6" s="96" t="s">
        <v>431</v>
      </c>
      <c r="C6" s="65"/>
      <c r="D6" s="87"/>
      <c r="E6" s="65"/>
      <c r="F6" s="65"/>
      <c r="G6" s="65"/>
      <c r="H6" s="65"/>
      <c r="I6" s="65"/>
      <c r="J6" s="65"/>
      <c r="K6" s="65"/>
      <c r="L6" s="65"/>
      <c r="M6" s="65"/>
      <c r="N6" s="65"/>
      <c r="O6" s="65"/>
      <c r="P6" s="65"/>
      <c r="Q6" s="65"/>
      <c r="R6" s="65"/>
      <c r="S6" s="65"/>
      <c r="T6" s="65"/>
      <c r="U6" s="67"/>
      <c r="V6" s="65"/>
      <c r="W6" s="65"/>
      <c r="X6" s="65"/>
      <c r="Y6" s="65"/>
    </row>
    <row r="7" spans="1:29" ht="5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530</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426</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427</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t="s">
        <v>531</v>
      </c>
      <c r="B12" s="180" t="s">
        <v>532</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C15"/>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0.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t="s">
        <v>533</v>
      </c>
      <c r="D2" s="75"/>
      <c r="E2" s="71"/>
      <c r="F2" s="65"/>
      <c r="G2" s="65"/>
      <c r="H2" s="65"/>
      <c r="I2" s="65"/>
      <c r="J2" s="65"/>
      <c r="K2" s="65"/>
      <c r="L2" s="65"/>
      <c r="M2" s="65"/>
      <c r="N2" s="65"/>
      <c r="O2" s="65"/>
      <c r="P2" s="65"/>
      <c r="Q2" s="65" t="s">
        <v>533</v>
      </c>
      <c r="R2" s="65"/>
      <c r="S2" s="65"/>
      <c r="T2" s="65"/>
      <c r="U2" s="67"/>
      <c r="V2" s="65"/>
      <c r="W2" s="65"/>
      <c r="X2" s="65"/>
      <c r="Y2" s="65"/>
      <c r="AA2" s="207"/>
      <c r="AB2" s="208"/>
      <c r="AC2" s="209"/>
    </row>
    <row r="3" spans="1:29">
      <c r="A3" s="189" t="s">
        <v>402</v>
      </c>
      <c r="B3" s="190" t="s">
        <v>403</v>
      </c>
      <c r="C3" s="65" t="s">
        <v>534</v>
      </c>
      <c r="D3" s="75"/>
      <c r="E3" s="71"/>
      <c r="F3" s="65"/>
      <c r="G3" s="65"/>
      <c r="H3" s="65"/>
      <c r="I3" s="65"/>
      <c r="J3" s="65"/>
      <c r="K3" s="65"/>
      <c r="L3" s="65"/>
      <c r="M3" s="65"/>
      <c r="N3" s="65" t="s">
        <v>535</v>
      </c>
      <c r="O3" s="65"/>
      <c r="P3" s="65"/>
      <c r="Q3" s="65" t="s">
        <v>533</v>
      </c>
      <c r="R3" s="65"/>
      <c r="S3" s="65"/>
      <c r="T3" s="65"/>
      <c r="U3" s="67"/>
      <c r="V3" s="65"/>
      <c r="W3" s="65"/>
      <c r="X3" s="65"/>
      <c r="Y3" s="65"/>
    </row>
    <row r="4" spans="1:29">
      <c r="A4" s="210"/>
      <c r="B4" s="212"/>
      <c r="C4" s="65" t="s">
        <v>536</v>
      </c>
      <c r="D4" s="75"/>
      <c r="E4" s="71"/>
      <c r="F4" s="65"/>
      <c r="G4" s="65"/>
      <c r="H4" s="65"/>
      <c r="I4" s="65"/>
      <c r="J4" s="65"/>
      <c r="K4" s="78"/>
      <c r="L4" s="78"/>
      <c r="M4" s="65"/>
      <c r="N4" s="65"/>
      <c r="O4" s="65"/>
      <c r="P4" s="65"/>
      <c r="Q4" s="65"/>
      <c r="R4" s="65"/>
      <c r="S4" s="65"/>
      <c r="T4" s="65"/>
      <c r="U4" s="67"/>
      <c r="V4" s="65"/>
      <c r="W4" s="65"/>
      <c r="X4" s="65"/>
      <c r="Y4" s="65"/>
    </row>
    <row r="5" spans="1:29" ht="63.75">
      <c r="A5" s="68" t="s">
        <v>406</v>
      </c>
      <c r="B5" s="63" t="s">
        <v>407</v>
      </c>
      <c r="C5" s="65"/>
      <c r="D5" s="75"/>
      <c r="E5" s="71"/>
      <c r="F5" s="65"/>
      <c r="G5" s="65"/>
      <c r="H5" s="65"/>
      <c r="I5" s="65"/>
      <c r="J5" s="65"/>
      <c r="K5" s="79"/>
      <c r="L5" s="79"/>
      <c r="M5" s="65"/>
      <c r="N5" s="65"/>
      <c r="O5" s="65"/>
      <c r="P5" s="65"/>
      <c r="Q5" s="65"/>
      <c r="R5" s="65"/>
      <c r="S5" s="65"/>
      <c r="T5" s="65"/>
      <c r="U5" s="67"/>
      <c r="V5" s="65"/>
      <c r="W5" s="65"/>
      <c r="X5" s="65"/>
      <c r="Y5" s="65"/>
    </row>
    <row r="6" spans="1:29" ht="51">
      <c r="A6" s="68" t="s">
        <v>410</v>
      </c>
      <c r="B6" s="63" t="s">
        <v>411</v>
      </c>
      <c r="C6" s="73"/>
      <c r="D6" s="79"/>
      <c r="E6" s="71"/>
      <c r="F6" s="65"/>
      <c r="G6" s="65"/>
      <c r="H6" s="65"/>
      <c r="I6" s="65"/>
      <c r="J6" s="65"/>
      <c r="K6" s="65"/>
      <c r="L6" s="65"/>
      <c r="M6" s="65"/>
      <c r="N6" s="65"/>
      <c r="O6" s="65"/>
      <c r="P6" s="65"/>
      <c r="Q6" s="65"/>
      <c r="R6" s="65"/>
      <c r="S6" s="65"/>
      <c r="T6" s="65"/>
      <c r="U6" s="67"/>
      <c r="V6" s="65"/>
      <c r="W6" s="65"/>
      <c r="X6" s="65"/>
      <c r="Y6" s="65"/>
    </row>
    <row r="7" spans="1:29" ht="51">
      <c r="A7" s="88" t="s">
        <v>412</v>
      </c>
      <c r="B7" s="96" t="s">
        <v>431</v>
      </c>
      <c r="C7" s="65"/>
      <c r="D7" s="87"/>
      <c r="E7" s="65"/>
      <c r="F7" s="65"/>
      <c r="G7" s="65"/>
      <c r="H7" s="65"/>
      <c r="I7" s="65"/>
      <c r="J7" s="65"/>
      <c r="K7" s="65"/>
      <c r="L7" s="65"/>
      <c r="M7" s="65"/>
      <c r="N7" s="65"/>
      <c r="O7" s="65"/>
      <c r="P7" s="65"/>
      <c r="Q7" s="65"/>
      <c r="R7" s="65"/>
      <c r="S7" s="65"/>
      <c r="T7" s="65"/>
      <c r="U7" s="67"/>
      <c r="V7" s="65"/>
      <c r="W7" s="65"/>
      <c r="X7" s="65"/>
      <c r="Y7" s="65"/>
    </row>
    <row r="8" spans="1:29" ht="51">
      <c r="A8" s="68" t="s">
        <v>422</v>
      </c>
      <c r="B8" s="63" t="s">
        <v>423</v>
      </c>
      <c r="C8" s="65"/>
      <c r="D8" s="65"/>
      <c r="E8" s="65"/>
      <c r="F8" s="65"/>
      <c r="G8" s="65"/>
      <c r="H8" s="65"/>
      <c r="I8" s="65"/>
      <c r="J8" s="65"/>
      <c r="K8" s="65"/>
      <c r="L8" s="65"/>
      <c r="M8" s="65"/>
      <c r="N8" s="65"/>
      <c r="O8" s="65"/>
      <c r="P8" s="65"/>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c r="A10" s="2" t="s">
        <v>424</v>
      </c>
      <c r="B10" s="180" t="s">
        <v>537</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426</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28.5">
      <c r="A12" s="2" t="s">
        <v>427</v>
      </c>
      <c r="B12" s="14"/>
      <c r="C12" s="108"/>
      <c r="D12" s="108"/>
      <c r="E12" s="108"/>
      <c r="F12" s="108"/>
      <c r="G12" s="108"/>
      <c r="H12" s="108"/>
      <c r="I12" s="108"/>
      <c r="J12" s="108"/>
      <c r="K12" s="108"/>
      <c r="L12" s="108"/>
      <c r="M12" s="108"/>
      <c r="N12" s="108"/>
      <c r="O12" s="108"/>
      <c r="P12" s="108"/>
      <c r="Q12" s="108"/>
      <c r="R12" s="108"/>
      <c r="S12" s="108"/>
      <c r="T12" s="108"/>
      <c r="U12" s="108"/>
      <c r="V12" s="108"/>
      <c r="W12" s="108"/>
      <c r="X12" s="108"/>
      <c r="Y12" s="109"/>
    </row>
    <row r="13" spans="1:29">
      <c r="A13" s="2" t="s">
        <v>538</v>
      </c>
      <c r="B13" s="180" t="s">
        <v>539</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2" t="s">
        <v>540</v>
      </c>
      <c r="B14" s="181" t="s">
        <v>541</v>
      </c>
      <c r="C14" s="208"/>
      <c r="D14" s="208"/>
      <c r="E14" s="208"/>
      <c r="F14" s="208"/>
      <c r="G14" s="208"/>
      <c r="H14" s="208"/>
      <c r="I14" s="208"/>
      <c r="J14" s="208"/>
      <c r="K14" s="208"/>
      <c r="L14" s="208"/>
      <c r="M14" s="208"/>
      <c r="N14" s="208"/>
      <c r="O14" s="208"/>
      <c r="P14" s="208"/>
      <c r="Q14" s="208"/>
      <c r="R14" s="208"/>
      <c r="S14" s="208"/>
      <c r="T14" s="208"/>
      <c r="U14" s="208"/>
      <c r="V14" s="208"/>
      <c r="W14" s="208"/>
      <c r="X14" s="208"/>
      <c r="Y14" s="209"/>
    </row>
    <row r="15" spans="1:29">
      <c r="A15" s="79"/>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sheetData>
  <mergeCells count="9">
    <mergeCell ref="B14:Y14"/>
    <mergeCell ref="B15:Y15"/>
    <mergeCell ref="AA1:AC2"/>
    <mergeCell ref="A3:A4"/>
    <mergeCell ref="B3:B4"/>
    <mergeCell ref="A9:AC9"/>
    <mergeCell ref="B10:Y10"/>
    <mergeCell ref="B11:Y11"/>
    <mergeCell ref="B13:Y13"/>
  </mergeCells>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C15"/>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96.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75"/>
      <c r="D2" s="75"/>
      <c r="E2" s="71"/>
      <c r="F2" s="65"/>
      <c r="G2" s="65"/>
      <c r="H2" s="75"/>
      <c r="I2" s="71"/>
      <c r="J2" s="65"/>
      <c r="K2" s="65"/>
      <c r="L2" s="65"/>
      <c r="M2" s="65"/>
      <c r="N2" s="65"/>
      <c r="O2" s="65"/>
      <c r="P2" s="65"/>
      <c r="Q2" s="65"/>
      <c r="R2" s="65"/>
      <c r="S2" s="65"/>
      <c r="T2" s="65"/>
      <c r="U2" s="67"/>
      <c r="V2" s="65"/>
      <c r="W2" s="65"/>
      <c r="X2" s="65"/>
      <c r="Y2" s="65"/>
      <c r="AA2" s="207"/>
      <c r="AB2" s="208"/>
      <c r="AC2" s="209"/>
    </row>
    <row r="3" spans="1:29">
      <c r="A3" s="189" t="s">
        <v>402</v>
      </c>
      <c r="B3" s="195" t="s">
        <v>403</v>
      </c>
      <c r="C3" s="72"/>
      <c r="D3" s="75"/>
      <c r="E3" s="72" t="s">
        <v>542</v>
      </c>
      <c r="F3" s="65"/>
      <c r="G3" s="73"/>
      <c r="H3" s="72" t="s">
        <v>543</v>
      </c>
      <c r="I3" s="71"/>
      <c r="J3" s="65"/>
      <c r="K3" s="65"/>
      <c r="L3" s="65"/>
      <c r="M3" s="65"/>
      <c r="N3" s="65"/>
      <c r="O3" s="65"/>
      <c r="P3" s="65"/>
      <c r="Q3" s="65"/>
      <c r="R3" s="65"/>
      <c r="S3" s="65"/>
      <c r="T3" s="65"/>
      <c r="U3" s="67"/>
      <c r="V3" s="65"/>
      <c r="W3" s="65"/>
      <c r="X3" s="65"/>
      <c r="Y3" s="65"/>
    </row>
    <row r="4" spans="1:29">
      <c r="A4" s="210"/>
      <c r="B4" s="214"/>
      <c r="C4" s="72"/>
      <c r="D4" s="75"/>
      <c r="E4" s="72"/>
      <c r="F4" s="65"/>
      <c r="G4" s="73"/>
      <c r="H4" s="72" t="s">
        <v>542</v>
      </c>
      <c r="I4" s="71"/>
      <c r="J4" s="65"/>
      <c r="K4" s="65"/>
      <c r="L4" s="65"/>
      <c r="M4" s="65"/>
      <c r="N4" s="65"/>
      <c r="O4" s="65"/>
      <c r="P4" s="65"/>
      <c r="Q4" s="65"/>
      <c r="R4" s="65"/>
      <c r="S4" s="65"/>
      <c r="T4" s="65"/>
      <c r="U4" s="67"/>
      <c r="V4" s="65"/>
      <c r="W4" s="65"/>
      <c r="X4" s="65"/>
      <c r="Y4" s="65"/>
    </row>
    <row r="5" spans="1:29" ht="63.75">
      <c r="A5" s="68" t="s">
        <v>406</v>
      </c>
      <c r="B5" s="63" t="s">
        <v>407</v>
      </c>
      <c r="C5" s="75"/>
      <c r="D5" s="75"/>
      <c r="E5" s="71"/>
      <c r="F5" s="65"/>
      <c r="G5" s="73"/>
      <c r="H5" s="72" t="s">
        <v>542</v>
      </c>
      <c r="I5" s="71"/>
      <c r="J5" s="65"/>
      <c r="K5" s="79"/>
      <c r="L5" s="103"/>
      <c r="M5" s="65"/>
      <c r="N5" s="65"/>
      <c r="O5" s="65"/>
      <c r="P5" s="65"/>
      <c r="Q5" s="65"/>
      <c r="R5" s="65"/>
      <c r="S5" s="65"/>
      <c r="T5" s="65"/>
      <c r="U5" s="67"/>
      <c r="V5" s="65"/>
      <c r="W5" s="65"/>
      <c r="X5" s="65"/>
      <c r="Y5" s="65"/>
    </row>
    <row r="6" spans="1:29" ht="51">
      <c r="A6" s="81" t="s">
        <v>410</v>
      </c>
      <c r="B6" s="63" t="s">
        <v>411</v>
      </c>
      <c r="C6" s="97"/>
      <c r="D6" s="79"/>
      <c r="E6" s="71"/>
      <c r="F6" s="65"/>
      <c r="G6" s="73"/>
      <c r="H6" s="72" t="s">
        <v>544</v>
      </c>
      <c r="I6" s="71"/>
      <c r="J6" s="65"/>
      <c r="K6" s="43" t="s">
        <v>545</v>
      </c>
      <c r="L6" s="72" t="s">
        <v>545</v>
      </c>
      <c r="M6" s="71"/>
      <c r="N6" s="65"/>
      <c r="O6" s="65"/>
      <c r="P6" s="72" t="s">
        <v>544</v>
      </c>
      <c r="Q6" s="65"/>
      <c r="R6" s="65"/>
      <c r="S6" s="65"/>
      <c r="T6" s="65"/>
      <c r="U6" s="67"/>
      <c r="V6" s="65"/>
      <c r="W6" s="65"/>
      <c r="X6" s="65"/>
      <c r="Y6" s="65"/>
    </row>
    <row r="7" spans="1:29" ht="51">
      <c r="A7" s="95" t="s">
        <v>412</v>
      </c>
      <c r="B7" s="96" t="s">
        <v>431</v>
      </c>
      <c r="C7" s="65"/>
      <c r="D7" s="87"/>
      <c r="E7" s="65"/>
      <c r="F7" s="65"/>
      <c r="G7" s="73"/>
      <c r="H7" s="72" t="s">
        <v>543</v>
      </c>
      <c r="I7" s="71"/>
      <c r="J7" s="65"/>
      <c r="K7" s="65"/>
      <c r="L7" s="87"/>
      <c r="M7" s="65"/>
      <c r="N7" s="65"/>
      <c r="O7" s="65"/>
      <c r="P7" s="65"/>
      <c r="Q7" s="65"/>
      <c r="R7" s="65"/>
      <c r="S7" s="65"/>
      <c r="T7" s="65"/>
      <c r="U7" s="67"/>
      <c r="V7" s="65"/>
      <c r="W7" s="65"/>
      <c r="X7" s="65"/>
      <c r="Y7" s="65"/>
    </row>
    <row r="8" spans="1:29" ht="51">
      <c r="A8" s="86" t="s">
        <v>422</v>
      </c>
      <c r="B8" s="63" t="s">
        <v>423</v>
      </c>
      <c r="C8" s="65"/>
      <c r="D8" s="65"/>
      <c r="E8" s="65"/>
      <c r="F8" s="65"/>
      <c r="G8" s="73"/>
      <c r="H8" s="75"/>
      <c r="I8" s="71"/>
      <c r="J8" s="65"/>
      <c r="K8" s="65"/>
      <c r="L8" s="65"/>
      <c r="M8" s="65"/>
      <c r="N8" s="65"/>
      <c r="O8" s="65"/>
      <c r="P8" s="65"/>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c r="A10" s="2" t="s">
        <v>424</v>
      </c>
      <c r="B10" s="191" t="s">
        <v>546</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426</v>
      </c>
      <c r="B11" s="180" t="s">
        <v>547</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28.5">
      <c r="A12" s="2" t="s">
        <v>427</v>
      </c>
      <c r="B12" s="14"/>
      <c r="C12" s="108"/>
      <c r="D12" s="108"/>
      <c r="E12" s="108"/>
      <c r="F12" s="108"/>
      <c r="G12" s="108"/>
      <c r="H12" s="108"/>
      <c r="I12" s="108"/>
      <c r="J12" s="108"/>
      <c r="K12" s="108"/>
      <c r="L12" s="108"/>
      <c r="M12" s="108"/>
      <c r="N12" s="108"/>
      <c r="O12" s="108"/>
      <c r="P12" s="108"/>
      <c r="Q12" s="108"/>
      <c r="R12" s="108"/>
      <c r="S12" s="108"/>
      <c r="T12" s="108"/>
      <c r="U12" s="108"/>
      <c r="V12" s="108"/>
      <c r="W12" s="108"/>
      <c r="X12" s="108"/>
      <c r="Y12" s="109"/>
    </row>
    <row r="13" spans="1:29">
      <c r="A13" s="2" t="s">
        <v>548</v>
      </c>
      <c r="B13" s="180" t="s">
        <v>549</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2" t="s">
        <v>550</v>
      </c>
      <c r="B14" s="180" t="s">
        <v>551</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t="s">
        <v>552</v>
      </c>
      <c r="B15" s="180" t="s">
        <v>553</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sheetData>
  <mergeCells count="9">
    <mergeCell ref="B14:Y14"/>
    <mergeCell ref="B15:Y15"/>
    <mergeCell ref="AA1:AC2"/>
    <mergeCell ref="A3:A4"/>
    <mergeCell ref="B3:B4"/>
    <mergeCell ref="A9:AC9"/>
    <mergeCell ref="B10:Y10"/>
    <mergeCell ref="B11:Y11"/>
    <mergeCell ref="B13:Y13"/>
  </mergeCells>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C17"/>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10.25" customHeight="1">
      <c r="A1" s="76" t="s">
        <v>373</v>
      </c>
      <c r="B1" s="77" t="s">
        <v>428</v>
      </c>
      <c r="C1" s="80" t="s">
        <v>375</v>
      </c>
      <c r="D1" s="55" t="s">
        <v>376</v>
      </c>
      <c r="E1" s="55" t="s">
        <v>377</v>
      </c>
      <c r="F1" s="55" t="s">
        <v>378</v>
      </c>
      <c r="G1" s="55" t="s">
        <v>379</v>
      </c>
      <c r="H1" s="92"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27" customHeight="1">
      <c r="A2" s="196" t="s">
        <v>399</v>
      </c>
      <c r="B2" s="190" t="s">
        <v>400</v>
      </c>
      <c r="C2" s="65"/>
      <c r="D2" s="65"/>
      <c r="E2" s="65" t="s">
        <v>554</v>
      </c>
      <c r="F2" s="65"/>
      <c r="G2" s="73"/>
      <c r="H2" s="72" t="s">
        <v>555</v>
      </c>
      <c r="I2" s="71"/>
      <c r="J2" s="65"/>
      <c r="K2" s="65"/>
      <c r="L2" s="65"/>
      <c r="M2" s="65"/>
      <c r="N2" s="65"/>
      <c r="O2" s="65"/>
      <c r="P2" s="65" t="s">
        <v>554</v>
      </c>
      <c r="Q2" s="65"/>
      <c r="R2" s="65"/>
      <c r="S2" s="65"/>
      <c r="T2" s="65"/>
      <c r="U2" s="67"/>
      <c r="V2" s="65"/>
      <c r="W2" s="65"/>
      <c r="X2" s="65"/>
      <c r="Y2" s="65"/>
      <c r="AA2" s="207"/>
      <c r="AB2" s="208"/>
      <c r="AC2" s="209"/>
    </row>
    <row r="3" spans="1:29" ht="34.5" customHeight="1">
      <c r="A3" s="210"/>
      <c r="B3" s="212"/>
      <c r="C3" s="65"/>
      <c r="D3" s="65"/>
      <c r="E3" s="65" t="s">
        <v>556</v>
      </c>
      <c r="F3" s="65"/>
      <c r="G3" s="73"/>
      <c r="H3" s="112"/>
      <c r="I3" s="71"/>
      <c r="J3" s="65"/>
      <c r="K3" s="65"/>
      <c r="L3" s="65"/>
      <c r="M3" s="65"/>
      <c r="N3" s="65"/>
      <c r="O3" s="65"/>
      <c r="P3" s="65"/>
      <c r="Q3" s="65"/>
      <c r="R3" s="65"/>
      <c r="S3" s="65"/>
      <c r="T3" s="65"/>
      <c r="U3" s="67"/>
      <c r="V3" s="65"/>
      <c r="W3" s="65"/>
      <c r="X3" s="65"/>
      <c r="Y3" s="65"/>
      <c r="AA3" s="118"/>
      <c r="AB3" s="118"/>
      <c r="AC3" s="118"/>
    </row>
    <row r="4" spans="1:29" ht="51">
      <c r="A4" s="68" t="s">
        <v>402</v>
      </c>
      <c r="B4" s="63" t="s">
        <v>403</v>
      </c>
      <c r="C4" s="65"/>
      <c r="D4" s="65"/>
      <c r="E4" s="65" t="s">
        <v>557</v>
      </c>
      <c r="F4" s="65"/>
      <c r="G4" s="65"/>
      <c r="H4" s="87"/>
      <c r="I4" s="71" t="s">
        <v>558</v>
      </c>
      <c r="J4" s="65"/>
      <c r="K4" s="65" t="s">
        <v>557</v>
      </c>
      <c r="L4" s="65"/>
      <c r="M4" s="65"/>
      <c r="N4" s="65"/>
      <c r="O4" s="65"/>
      <c r="P4" s="65"/>
      <c r="Q4" s="65" t="s">
        <v>557</v>
      </c>
      <c r="R4" s="65"/>
      <c r="S4" s="65"/>
      <c r="T4" s="65"/>
      <c r="U4" s="67"/>
      <c r="V4" s="65"/>
      <c r="W4" s="65"/>
      <c r="X4" s="65"/>
      <c r="Y4" s="65"/>
    </row>
    <row r="5" spans="1:29" ht="63.75">
      <c r="A5" s="68" t="s">
        <v>406</v>
      </c>
      <c r="B5" s="63" t="s">
        <v>407</v>
      </c>
      <c r="C5" s="65"/>
      <c r="D5" s="66"/>
      <c r="E5" s="65"/>
      <c r="F5" s="65"/>
      <c r="G5" s="65"/>
      <c r="H5" s="65"/>
      <c r="I5" s="71" t="s">
        <v>558</v>
      </c>
      <c r="J5" s="65"/>
      <c r="K5" s="79"/>
      <c r="L5" s="79"/>
      <c r="M5" s="65" t="s">
        <v>559</v>
      </c>
      <c r="N5" s="65"/>
      <c r="O5" s="65"/>
      <c r="P5" s="65"/>
      <c r="Q5" s="65"/>
      <c r="R5" s="65"/>
      <c r="S5" s="65"/>
      <c r="T5" s="65"/>
      <c r="U5" s="67"/>
      <c r="V5" s="65"/>
      <c r="W5" s="65"/>
      <c r="X5" s="65"/>
      <c r="Y5" s="65"/>
    </row>
    <row r="6" spans="1:29" ht="51">
      <c r="A6" s="68" t="s">
        <v>410</v>
      </c>
      <c r="B6" s="63" t="s">
        <v>411</v>
      </c>
      <c r="C6" s="73"/>
      <c r="D6" s="79"/>
      <c r="E6" s="71"/>
      <c r="F6" s="65"/>
      <c r="G6" s="65"/>
      <c r="H6" s="65"/>
      <c r="I6" s="65"/>
      <c r="J6" s="65"/>
      <c r="K6" s="65"/>
      <c r="L6" s="65"/>
      <c r="M6" s="65"/>
      <c r="N6" s="65"/>
      <c r="O6" s="65"/>
      <c r="P6" s="65"/>
      <c r="Q6" s="65"/>
      <c r="R6" s="65"/>
      <c r="S6" s="65"/>
      <c r="T6" s="65"/>
      <c r="U6" s="67"/>
      <c r="V6" s="65"/>
      <c r="W6" s="65"/>
      <c r="X6" s="65"/>
      <c r="Y6" s="65"/>
    </row>
    <row r="7" spans="1:29" ht="51">
      <c r="A7" s="88" t="s">
        <v>412</v>
      </c>
      <c r="B7" s="96" t="s">
        <v>431</v>
      </c>
      <c r="C7" s="65"/>
      <c r="D7" s="64"/>
      <c r="E7" s="65" t="s">
        <v>555</v>
      </c>
      <c r="F7" s="65"/>
      <c r="G7" s="65"/>
      <c r="H7" s="65"/>
      <c r="I7" s="65"/>
      <c r="J7" s="65"/>
      <c r="K7" s="65"/>
      <c r="L7" s="65"/>
      <c r="M7" s="65" t="s">
        <v>559</v>
      </c>
      <c r="N7" s="65"/>
      <c r="O7" s="65"/>
      <c r="P7" s="65" t="s">
        <v>554</v>
      </c>
      <c r="Q7" s="65"/>
      <c r="R7" s="65"/>
      <c r="S7" s="65"/>
      <c r="T7" s="65"/>
      <c r="U7" s="67"/>
      <c r="V7" s="65"/>
      <c r="W7" s="65"/>
      <c r="X7" s="65"/>
      <c r="Y7" s="65"/>
    </row>
    <row r="8" spans="1:29" ht="51">
      <c r="A8" s="68" t="s">
        <v>422</v>
      </c>
      <c r="B8" s="63" t="s">
        <v>423</v>
      </c>
      <c r="C8" s="73"/>
      <c r="D8" s="70"/>
      <c r="E8" s="71"/>
      <c r="F8" s="65"/>
      <c r="G8" s="65"/>
      <c r="H8" s="65"/>
      <c r="I8" s="65"/>
      <c r="J8" s="65"/>
      <c r="K8" s="70"/>
      <c r="L8" s="65"/>
      <c r="M8" s="65"/>
      <c r="N8" s="65"/>
      <c r="O8" s="65"/>
      <c r="P8" s="70"/>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c r="A10" s="2" t="s">
        <v>424</v>
      </c>
      <c r="B10" s="191" t="s">
        <v>509</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426</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28.5">
      <c r="A12" s="2" t="s">
        <v>427</v>
      </c>
      <c r="B12" s="4"/>
      <c r="C12" s="119"/>
      <c r="D12" s="119"/>
      <c r="E12" s="119"/>
      <c r="F12" s="119"/>
      <c r="G12" s="119"/>
      <c r="H12" s="119"/>
      <c r="I12" s="119"/>
      <c r="J12" s="119"/>
      <c r="K12" s="119"/>
      <c r="L12" s="119"/>
      <c r="M12" s="119"/>
      <c r="N12" s="119"/>
      <c r="O12" s="119"/>
      <c r="P12" s="119"/>
      <c r="Q12" s="119"/>
      <c r="R12" s="119"/>
      <c r="S12" s="119"/>
      <c r="T12" s="119"/>
      <c r="U12" s="119"/>
      <c r="V12" s="119"/>
      <c r="W12" s="119"/>
      <c r="X12" s="119"/>
      <c r="Y12" s="120"/>
    </row>
    <row r="13" spans="1:29">
      <c r="A13" s="2" t="s">
        <v>560</v>
      </c>
      <c r="B13" s="180" t="s">
        <v>561</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24" customHeight="1">
      <c r="A14" s="2" t="s">
        <v>562</v>
      </c>
      <c r="B14" s="180" t="s">
        <v>563</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ht="25.5" customHeight="1">
      <c r="A15" s="2" t="s">
        <v>564</v>
      </c>
      <c r="B15" s="180" t="s">
        <v>565</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ht="78.75" customHeight="1">
      <c r="A16" s="2" t="s">
        <v>566</v>
      </c>
      <c r="B16" s="180" t="s">
        <v>567</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c r="A17" s="2" t="s">
        <v>568</v>
      </c>
      <c r="B17" s="180" t="s">
        <v>569</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sheetData>
  <mergeCells count="11">
    <mergeCell ref="A2:A3"/>
    <mergeCell ref="B2:B3"/>
    <mergeCell ref="A9:AC9"/>
    <mergeCell ref="B10:Y10"/>
    <mergeCell ref="B11:Y11"/>
    <mergeCell ref="B14:Y14"/>
    <mergeCell ref="B15:Y15"/>
    <mergeCell ref="B16:Y16"/>
    <mergeCell ref="B17:Y17"/>
    <mergeCell ref="AA1:AC2"/>
    <mergeCell ref="B13:Y13"/>
  </mergeCells>
  <pageMargins left="0.7" right="0.7" top="0.75" bottom="0.75" header="0" footer="0"/>
  <pageSetup orientation="landscape"/>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C22"/>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75"/>
      <c r="E2" s="71" t="s">
        <v>570</v>
      </c>
      <c r="F2" s="65"/>
      <c r="G2" s="65"/>
      <c r="H2" s="65"/>
      <c r="I2" s="66"/>
      <c r="J2" s="65"/>
      <c r="K2" s="65"/>
      <c r="L2" s="65" t="s">
        <v>570</v>
      </c>
      <c r="M2" s="75"/>
      <c r="N2" s="71" t="s">
        <v>570</v>
      </c>
      <c r="O2" s="65"/>
      <c r="P2" s="65"/>
      <c r="Q2" s="65"/>
      <c r="R2" s="65"/>
      <c r="S2" s="65"/>
      <c r="T2" s="65"/>
      <c r="U2" s="67"/>
      <c r="V2" s="65"/>
      <c r="W2" s="65"/>
      <c r="X2" s="65"/>
      <c r="Y2" s="65"/>
      <c r="AA2" s="207"/>
      <c r="AB2" s="208"/>
      <c r="AC2" s="209"/>
    </row>
    <row r="3" spans="1:29" ht="28.5">
      <c r="A3" s="189" t="s">
        <v>402</v>
      </c>
      <c r="B3" s="190" t="s">
        <v>403</v>
      </c>
      <c r="C3" s="65"/>
      <c r="D3" s="75"/>
      <c r="E3" s="71" t="s">
        <v>571</v>
      </c>
      <c r="F3" s="65"/>
      <c r="G3" s="65"/>
      <c r="H3" s="43" t="s">
        <v>572</v>
      </c>
      <c r="I3" s="72" t="s">
        <v>573</v>
      </c>
      <c r="J3" s="65" t="s">
        <v>574</v>
      </c>
      <c r="K3" s="65"/>
      <c r="L3" s="65"/>
      <c r="M3" s="75"/>
      <c r="N3" s="65" t="s">
        <v>574</v>
      </c>
      <c r="O3" s="65"/>
      <c r="P3" s="65"/>
      <c r="Q3" s="65"/>
      <c r="R3" s="65"/>
      <c r="S3" s="65"/>
      <c r="T3" s="65"/>
      <c r="U3" s="67"/>
      <c r="V3" s="65"/>
      <c r="W3" s="65"/>
      <c r="X3" s="65"/>
      <c r="Y3" s="65"/>
    </row>
    <row r="4" spans="1:29" ht="28.5">
      <c r="A4" s="206"/>
      <c r="B4" s="213"/>
      <c r="C4" s="65"/>
      <c r="D4" s="75"/>
      <c r="E4" s="71" t="s">
        <v>575</v>
      </c>
      <c r="F4" s="65"/>
      <c r="G4" s="65"/>
      <c r="H4" s="85"/>
      <c r="I4" s="72" t="s">
        <v>576</v>
      </c>
      <c r="J4" s="71"/>
      <c r="K4" s="78"/>
      <c r="L4" s="113"/>
      <c r="M4" s="75"/>
      <c r="N4" s="71"/>
      <c r="O4" s="65"/>
      <c r="P4" s="65"/>
      <c r="Q4" s="65"/>
      <c r="R4" s="65"/>
      <c r="S4" s="65"/>
      <c r="T4" s="65"/>
      <c r="U4" s="67"/>
      <c r="V4" s="65"/>
      <c r="W4" s="65"/>
      <c r="X4" s="65"/>
      <c r="Y4" s="65"/>
    </row>
    <row r="5" spans="1:29">
      <c r="A5" s="210"/>
      <c r="B5" s="212"/>
      <c r="C5" s="65"/>
      <c r="D5" s="75"/>
      <c r="E5" s="71" t="s">
        <v>572</v>
      </c>
      <c r="F5" s="65"/>
      <c r="G5" s="65"/>
      <c r="H5" s="85"/>
      <c r="I5" s="72"/>
      <c r="J5" s="71"/>
      <c r="K5" s="78"/>
      <c r="L5" s="113"/>
      <c r="M5" s="75"/>
      <c r="N5" s="71"/>
      <c r="O5" s="65"/>
      <c r="P5" s="65"/>
      <c r="Q5" s="65"/>
      <c r="R5" s="65"/>
      <c r="S5" s="65"/>
      <c r="T5" s="65"/>
      <c r="U5" s="67"/>
      <c r="V5" s="65"/>
      <c r="W5" s="65"/>
      <c r="X5" s="65"/>
      <c r="Y5" s="65"/>
    </row>
    <row r="6" spans="1:29">
      <c r="A6" s="189" t="s">
        <v>406</v>
      </c>
      <c r="B6" s="190" t="s">
        <v>407</v>
      </c>
      <c r="C6" s="65"/>
      <c r="D6" s="75"/>
      <c r="E6" s="71" t="s">
        <v>570</v>
      </c>
      <c r="F6" s="65"/>
      <c r="G6" s="65"/>
      <c r="H6" s="113"/>
      <c r="I6" s="72"/>
      <c r="J6" s="71"/>
      <c r="K6" s="107"/>
      <c r="L6" s="121"/>
      <c r="M6" s="70"/>
      <c r="N6" s="71"/>
      <c r="O6" s="65"/>
      <c r="P6" s="65"/>
      <c r="Q6" s="65"/>
      <c r="R6" s="65"/>
      <c r="S6" s="65"/>
      <c r="T6" s="65"/>
      <c r="U6" s="67"/>
      <c r="V6" s="65"/>
      <c r="W6" s="65"/>
      <c r="X6" s="65"/>
      <c r="Y6" s="65"/>
    </row>
    <row r="7" spans="1:29" ht="28.5">
      <c r="A7" s="210"/>
      <c r="B7" s="212"/>
      <c r="C7" s="65"/>
      <c r="D7" s="75"/>
      <c r="E7" s="71" t="s">
        <v>571</v>
      </c>
      <c r="F7" s="65"/>
      <c r="G7" s="65"/>
      <c r="H7" s="73"/>
      <c r="I7" s="72" t="s">
        <v>573</v>
      </c>
      <c r="J7" s="71"/>
      <c r="K7" s="79"/>
      <c r="L7" s="94"/>
      <c r="M7" s="70" t="s">
        <v>577</v>
      </c>
      <c r="N7" s="71"/>
      <c r="O7" s="65"/>
      <c r="P7" s="65" t="s">
        <v>578</v>
      </c>
      <c r="Q7" s="65"/>
      <c r="R7" s="65"/>
      <c r="S7" s="65"/>
      <c r="T7" s="65"/>
      <c r="U7" s="67"/>
      <c r="V7" s="65"/>
      <c r="W7" s="65"/>
      <c r="X7" s="65"/>
      <c r="Y7" s="65"/>
    </row>
    <row r="8" spans="1:29" ht="51">
      <c r="A8" s="68" t="s">
        <v>410</v>
      </c>
      <c r="B8" s="63" t="s">
        <v>411</v>
      </c>
      <c r="C8" s="73"/>
      <c r="D8" s="79"/>
      <c r="E8" s="71" t="s">
        <v>570</v>
      </c>
      <c r="F8" s="65"/>
      <c r="G8" s="65"/>
      <c r="H8" s="65"/>
      <c r="I8" s="87"/>
      <c r="J8" s="65"/>
      <c r="K8" s="65"/>
      <c r="L8" s="73"/>
      <c r="M8" s="75"/>
      <c r="N8" s="71"/>
      <c r="O8" s="65"/>
      <c r="P8" s="65"/>
      <c r="Q8" s="65"/>
      <c r="R8" s="65"/>
      <c r="S8" s="65"/>
      <c r="T8" s="65"/>
      <c r="U8" s="67"/>
      <c r="V8" s="65"/>
      <c r="W8" s="65"/>
      <c r="X8" s="65"/>
      <c r="Y8" s="65"/>
    </row>
    <row r="9" spans="1:29" ht="28.5">
      <c r="A9" s="193" t="s">
        <v>412</v>
      </c>
      <c r="B9" s="194" t="s">
        <v>431</v>
      </c>
      <c r="C9" s="104"/>
      <c r="D9" s="78"/>
      <c r="E9" s="71" t="s">
        <v>574</v>
      </c>
      <c r="F9" s="65"/>
      <c r="G9" s="65"/>
      <c r="H9" s="85"/>
      <c r="I9" s="43" t="s">
        <v>579</v>
      </c>
      <c r="J9" s="65"/>
      <c r="K9" s="75"/>
      <c r="L9" s="104"/>
      <c r="M9" s="70"/>
      <c r="N9" s="71"/>
      <c r="O9" s="65"/>
      <c r="P9" s="65"/>
      <c r="Q9" s="65"/>
      <c r="R9" s="65"/>
      <c r="S9" s="65"/>
      <c r="T9" s="65"/>
      <c r="U9" s="67"/>
      <c r="V9" s="65"/>
      <c r="W9" s="65"/>
      <c r="X9" s="65"/>
      <c r="Y9" s="65"/>
    </row>
    <row r="10" spans="1:29" ht="28.5">
      <c r="A10" s="207"/>
      <c r="B10" s="210"/>
      <c r="C10" s="71"/>
      <c r="D10" s="87"/>
      <c r="E10" s="65" t="s">
        <v>572</v>
      </c>
      <c r="F10" s="65"/>
      <c r="G10" s="65"/>
      <c r="H10" s="43" t="s">
        <v>572</v>
      </c>
      <c r="I10" s="65"/>
      <c r="J10" s="65" t="s">
        <v>574</v>
      </c>
      <c r="K10" s="75"/>
      <c r="L10" s="71" t="s">
        <v>575</v>
      </c>
      <c r="M10" s="70" t="s">
        <v>577</v>
      </c>
      <c r="N10" s="71"/>
      <c r="O10" s="65"/>
      <c r="P10" s="65"/>
      <c r="Q10" s="65" t="s">
        <v>580</v>
      </c>
      <c r="R10" s="65"/>
      <c r="S10" s="65"/>
      <c r="T10" s="65"/>
      <c r="U10" s="67"/>
      <c r="V10" s="65"/>
      <c r="W10" s="65"/>
      <c r="X10" s="65"/>
      <c r="Y10" s="65"/>
    </row>
    <row r="11" spans="1:29" ht="51">
      <c r="A11" s="68" t="s">
        <v>422</v>
      </c>
      <c r="B11" s="90" t="s">
        <v>423</v>
      </c>
      <c r="C11" s="65"/>
      <c r="D11" s="65"/>
      <c r="E11" s="65" t="s">
        <v>580</v>
      </c>
      <c r="F11" s="65"/>
      <c r="G11" s="65"/>
      <c r="H11" s="65"/>
      <c r="I11" s="65"/>
      <c r="J11" s="73"/>
      <c r="K11" s="72" t="s">
        <v>581</v>
      </c>
      <c r="L11" s="71"/>
      <c r="M11" s="87"/>
      <c r="N11" s="65"/>
      <c r="O11" s="65"/>
      <c r="P11" s="65"/>
      <c r="Q11" s="65"/>
      <c r="R11" s="65"/>
      <c r="S11" s="65"/>
      <c r="T11" s="65"/>
      <c r="U11" s="67"/>
      <c r="V11" s="65"/>
      <c r="W11" s="65"/>
      <c r="X11" s="65"/>
      <c r="Y11" s="65"/>
    </row>
    <row r="12" spans="1:29" ht="24" customHeight="1">
      <c r="A12" s="188"/>
      <c r="B12" s="204"/>
      <c r="C12" s="204"/>
      <c r="D12" s="204"/>
      <c r="E12" s="204"/>
      <c r="F12" s="204"/>
      <c r="G12" s="204"/>
      <c r="H12" s="204"/>
      <c r="I12" s="204"/>
      <c r="J12" s="204"/>
      <c r="K12" s="204"/>
      <c r="L12" s="204"/>
      <c r="M12" s="204"/>
      <c r="N12" s="204"/>
      <c r="O12" s="204"/>
      <c r="P12" s="204"/>
      <c r="Q12" s="204"/>
      <c r="R12" s="204"/>
      <c r="S12" s="204"/>
      <c r="T12" s="204"/>
      <c r="U12" s="204"/>
      <c r="V12" s="204"/>
      <c r="W12" s="204"/>
      <c r="X12" s="204"/>
      <c r="Y12" s="204"/>
      <c r="Z12" s="204"/>
      <c r="AA12" s="204"/>
      <c r="AB12" s="204"/>
      <c r="AC12" s="204"/>
    </row>
    <row r="13" spans="1:29">
      <c r="A13" s="2" t="s">
        <v>424</v>
      </c>
      <c r="B13" s="191" t="s">
        <v>582</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2" t="s">
        <v>426</v>
      </c>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ht="28.5">
      <c r="A15" s="2" t="s">
        <v>427</v>
      </c>
      <c r="B15" s="4"/>
      <c r="C15" s="119"/>
      <c r="D15" s="119"/>
      <c r="E15" s="119"/>
      <c r="F15" s="119"/>
      <c r="G15" s="119"/>
      <c r="H15" s="119"/>
      <c r="I15" s="119"/>
      <c r="J15" s="119"/>
      <c r="K15" s="119"/>
      <c r="L15" s="119"/>
      <c r="M15" s="119"/>
      <c r="N15" s="119"/>
      <c r="O15" s="119"/>
      <c r="P15" s="119"/>
      <c r="Q15" s="119"/>
      <c r="R15" s="119"/>
      <c r="S15" s="119"/>
      <c r="T15" s="119"/>
      <c r="U15" s="119"/>
      <c r="V15" s="119"/>
      <c r="W15" s="119"/>
      <c r="X15" s="119"/>
      <c r="Y15" s="120"/>
    </row>
    <row r="16" spans="1:29" ht="25.5" customHeight="1">
      <c r="A16" s="2" t="s">
        <v>583</v>
      </c>
      <c r="B16" s="180" t="s">
        <v>584</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ht="37.5" customHeight="1">
      <c r="A17" s="2" t="s">
        <v>585</v>
      </c>
      <c r="B17" s="180" t="s">
        <v>567</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row r="18" spans="1:25" ht="45.75" customHeight="1">
      <c r="A18" s="2" t="s">
        <v>586</v>
      </c>
      <c r="B18" s="180" t="s">
        <v>587</v>
      </c>
      <c r="C18" s="211"/>
      <c r="D18" s="211"/>
      <c r="E18" s="211"/>
      <c r="F18" s="211"/>
      <c r="G18" s="211"/>
      <c r="H18" s="211"/>
      <c r="I18" s="211"/>
      <c r="J18" s="211"/>
      <c r="K18" s="211"/>
      <c r="L18" s="211"/>
      <c r="M18" s="211"/>
      <c r="N18" s="211"/>
      <c r="O18" s="211"/>
      <c r="P18" s="211"/>
      <c r="Q18" s="211"/>
      <c r="R18" s="211"/>
      <c r="S18" s="211"/>
      <c r="T18" s="211"/>
      <c r="U18" s="211"/>
      <c r="V18" s="211"/>
      <c r="W18" s="211"/>
      <c r="X18" s="211"/>
      <c r="Y18" s="200"/>
    </row>
    <row r="19" spans="1:25" ht="24" customHeight="1">
      <c r="A19" s="2" t="s">
        <v>588</v>
      </c>
      <c r="B19" s="180" t="s">
        <v>589</v>
      </c>
      <c r="C19" s="211"/>
      <c r="D19" s="211"/>
      <c r="E19" s="211"/>
      <c r="F19" s="211"/>
      <c r="G19" s="211"/>
      <c r="H19" s="211"/>
      <c r="I19" s="211"/>
      <c r="J19" s="211"/>
      <c r="K19" s="211"/>
      <c r="L19" s="211"/>
      <c r="M19" s="211"/>
      <c r="N19" s="211"/>
      <c r="O19" s="211"/>
      <c r="P19" s="211"/>
      <c r="Q19" s="211"/>
      <c r="R19" s="211"/>
      <c r="S19" s="211"/>
      <c r="T19" s="211"/>
      <c r="U19" s="211"/>
      <c r="V19" s="211"/>
      <c r="W19" s="211"/>
      <c r="X19" s="211"/>
      <c r="Y19" s="200"/>
    </row>
    <row r="20" spans="1:25">
      <c r="A20" s="2" t="s">
        <v>590</v>
      </c>
      <c r="B20" s="180" t="s">
        <v>591</v>
      </c>
      <c r="C20" s="211"/>
      <c r="D20" s="211"/>
      <c r="E20" s="211"/>
      <c r="F20" s="211"/>
      <c r="G20" s="211"/>
      <c r="H20" s="211"/>
      <c r="I20" s="211"/>
      <c r="J20" s="211"/>
      <c r="K20" s="211"/>
      <c r="L20" s="211"/>
      <c r="M20" s="211"/>
      <c r="N20" s="211"/>
      <c r="O20" s="211"/>
      <c r="P20" s="211"/>
      <c r="Q20" s="211"/>
      <c r="R20" s="211"/>
      <c r="S20" s="211"/>
      <c r="T20" s="211"/>
      <c r="U20" s="211"/>
      <c r="V20" s="211"/>
      <c r="W20" s="211"/>
      <c r="X20" s="211"/>
      <c r="Y20" s="200"/>
    </row>
    <row r="21" spans="1:25">
      <c r="A21" s="2" t="s">
        <v>592</v>
      </c>
      <c r="B21" s="180" t="s">
        <v>593</v>
      </c>
      <c r="C21" s="211"/>
      <c r="D21" s="211"/>
      <c r="E21" s="211"/>
      <c r="F21" s="211"/>
      <c r="G21" s="211"/>
      <c r="H21" s="211"/>
      <c r="I21" s="211"/>
      <c r="J21" s="211"/>
      <c r="K21" s="211"/>
      <c r="L21" s="211"/>
      <c r="M21" s="211"/>
      <c r="N21" s="211"/>
      <c r="O21" s="211"/>
      <c r="P21" s="211"/>
      <c r="Q21" s="211"/>
      <c r="R21" s="211"/>
      <c r="S21" s="211"/>
      <c r="T21" s="211"/>
      <c r="U21" s="211"/>
      <c r="V21" s="211"/>
      <c r="W21" s="211"/>
      <c r="X21" s="211"/>
      <c r="Y21" s="200"/>
    </row>
    <row r="22" spans="1:25">
      <c r="A22" s="2" t="s">
        <v>594</v>
      </c>
      <c r="B22" s="180" t="s">
        <v>569</v>
      </c>
      <c r="C22" s="211"/>
      <c r="D22" s="211"/>
      <c r="E22" s="211"/>
      <c r="F22" s="211"/>
      <c r="G22" s="211"/>
      <c r="H22" s="211"/>
      <c r="I22" s="211"/>
      <c r="J22" s="211"/>
      <c r="K22" s="211"/>
      <c r="L22" s="211"/>
      <c r="M22" s="211"/>
      <c r="N22" s="211"/>
      <c r="O22" s="211"/>
      <c r="P22" s="211"/>
      <c r="Q22" s="211"/>
      <c r="R22" s="211"/>
      <c r="S22" s="211"/>
      <c r="T22" s="211"/>
      <c r="U22" s="211"/>
      <c r="V22" s="211"/>
      <c r="W22" s="211"/>
      <c r="X22" s="211"/>
      <c r="Y22" s="200"/>
    </row>
  </sheetData>
  <mergeCells count="17">
    <mergeCell ref="A9:A10"/>
    <mergeCell ref="B9:B10"/>
    <mergeCell ref="B20:Y20"/>
    <mergeCell ref="B21:Y21"/>
    <mergeCell ref="B22:Y22"/>
    <mergeCell ref="A12:AC12"/>
    <mergeCell ref="B13:Y13"/>
    <mergeCell ref="B14:Y14"/>
    <mergeCell ref="B16:Y16"/>
    <mergeCell ref="B17:Y17"/>
    <mergeCell ref="B18:Y18"/>
    <mergeCell ref="B19:Y19"/>
    <mergeCell ref="AA1:AC2"/>
    <mergeCell ref="A3:A5"/>
    <mergeCell ref="B3:B5"/>
    <mergeCell ref="A6:A7"/>
    <mergeCell ref="B6:B7"/>
  </mergeCells>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C16"/>
  <sheetViews>
    <sheetView workbookViewId="0"/>
  </sheetViews>
  <sheetFormatPr defaultColWidth="12.5703125" defaultRowHeight="15" customHeight="1"/>
  <cols>
    <col min="1" max="1" width="19.28515625" customWidth="1"/>
    <col min="2" max="2" width="18.85546875" customWidth="1"/>
    <col min="3" max="3" width="16.5703125" customWidth="1"/>
    <col min="4" max="17" width="19.7109375" customWidth="1"/>
    <col min="18" max="18" width="28.5703125" customWidth="1"/>
    <col min="19" max="19" width="24.5703125" customWidth="1"/>
    <col min="20" max="25" width="19.7109375" customWidth="1"/>
    <col min="26" max="29" width="8.85546875" customWidth="1"/>
  </cols>
  <sheetData>
    <row r="1" spans="1:29" ht="159.75" customHeight="1">
      <c r="A1" s="76" t="s">
        <v>373</v>
      </c>
      <c r="B1" s="77" t="s">
        <v>428</v>
      </c>
      <c r="C1" s="80" t="s">
        <v>375</v>
      </c>
      <c r="D1" s="92" t="s">
        <v>376</v>
      </c>
      <c r="E1" s="92" t="s">
        <v>377</v>
      </c>
      <c r="F1" s="92" t="s">
        <v>378</v>
      </c>
      <c r="G1" s="92" t="s">
        <v>379</v>
      </c>
      <c r="H1" s="92" t="s">
        <v>380</v>
      </c>
      <c r="I1" s="92" t="s">
        <v>381</v>
      </c>
      <c r="J1" s="99" t="s">
        <v>382</v>
      </c>
      <c r="K1" s="99" t="s">
        <v>383</v>
      </c>
      <c r="L1" s="99"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63" customHeight="1">
      <c r="A2" s="62" t="s">
        <v>399</v>
      </c>
      <c r="B2" s="63" t="s">
        <v>400</v>
      </c>
      <c r="C2" s="100"/>
      <c r="D2" s="72"/>
      <c r="E2" s="122"/>
      <c r="F2" s="122"/>
      <c r="G2" s="122"/>
      <c r="H2" s="122"/>
      <c r="I2" s="122"/>
      <c r="J2" s="122"/>
      <c r="K2" s="72"/>
      <c r="L2" s="122"/>
      <c r="M2" s="71"/>
      <c r="N2" s="65"/>
      <c r="O2" s="65"/>
      <c r="P2" s="65"/>
      <c r="Q2" s="65"/>
      <c r="R2" s="65"/>
      <c r="S2" s="65"/>
      <c r="T2" s="65"/>
      <c r="U2" s="67"/>
      <c r="V2" s="65"/>
      <c r="W2" s="65"/>
      <c r="X2" s="65"/>
      <c r="Y2" s="65"/>
      <c r="AA2" s="207"/>
      <c r="AB2" s="208"/>
      <c r="AC2" s="209"/>
    </row>
    <row r="3" spans="1:29" ht="51" customHeight="1">
      <c r="A3" s="68" t="s">
        <v>402</v>
      </c>
      <c r="B3" s="69" t="s">
        <v>403</v>
      </c>
      <c r="C3" s="43"/>
      <c r="D3" s="72"/>
      <c r="E3" s="72"/>
      <c r="F3" s="122"/>
      <c r="G3" s="122"/>
      <c r="H3" s="72"/>
      <c r="I3" s="122"/>
      <c r="J3" s="72" t="s">
        <v>595</v>
      </c>
      <c r="K3" s="72"/>
      <c r="L3" s="72"/>
      <c r="M3" s="65" t="s">
        <v>595</v>
      </c>
      <c r="N3" s="72" t="s">
        <v>596</v>
      </c>
      <c r="O3" s="72" t="s">
        <v>597</v>
      </c>
      <c r="P3" s="65"/>
      <c r="Q3" s="65"/>
      <c r="R3" s="65"/>
      <c r="S3" s="65"/>
      <c r="T3" s="65"/>
      <c r="U3" s="67"/>
      <c r="V3" s="65"/>
      <c r="W3" s="65"/>
      <c r="X3" s="65"/>
      <c r="Y3" s="65"/>
    </row>
    <row r="4" spans="1:29" ht="76.5">
      <c r="A4" s="68" t="s">
        <v>406</v>
      </c>
      <c r="B4" s="63" t="s">
        <v>407</v>
      </c>
      <c r="C4" s="97"/>
      <c r="D4" s="122"/>
      <c r="E4" s="122"/>
      <c r="F4" s="122"/>
      <c r="G4" s="122"/>
      <c r="H4" s="72"/>
      <c r="I4" s="122"/>
      <c r="J4" s="72" t="s">
        <v>595</v>
      </c>
      <c r="K4" s="124"/>
      <c r="L4" s="124"/>
      <c r="M4" s="71"/>
      <c r="N4" s="73"/>
      <c r="O4" s="72"/>
      <c r="P4" s="71"/>
      <c r="Q4" s="65"/>
      <c r="R4" s="65"/>
      <c r="S4" s="65"/>
      <c r="T4" s="65"/>
      <c r="U4" s="67"/>
      <c r="V4" s="65"/>
      <c r="W4" s="65"/>
      <c r="X4" s="65"/>
      <c r="Y4" s="65"/>
    </row>
    <row r="5" spans="1:29" ht="51">
      <c r="A5" s="81" t="s">
        <v>410</v>
      </c>
      <c r="B5" s="63" t="s">
        <v>411</v>
      </c>
      <c r="C5" s="73"/>
      <c r="D5" s="124"/>
      <c r="E5" s="122"/>
      <c r="F5" s="122"/>
      <c r="G5" s="122"/>
      <c r="H5" s="122"/>
      <c r="I5" s="122"/>
      <c r="J5" s="72"/>
      <c r="K5" s="72"/>
      <c r="L5" s="65" t="s">
        <v>595</v>
      </c>
      <c r="M5" s="65" t="s">
        <v>595</v>
      </c>
      <c r="N5" s="65"/>
      <c r="O5" s="87"/>
      <c r="P5" s="65"/>
      <c r="Q5" s="72" t="s">
        <v>596</v>
      </c>
      <c r="R5" s="65"/>
      <c r="S5" s="65"/>
      <c r="T5" s="65"/>
      <c r="U5" s="67"/>
      <c r="V5" s="65"/>
      <c r="W5" s="65"/>
      <c r="X5" s="65"/>
      <c r="Y5" s="65"/>
    </row>
    <row r="6" spans="1:29" ht="51">
      <c r="A6" s="95" t="s">
        <v>412</v>
      </c>
      <c r="B6" s="96" t="s">
        <v>431</v>
      </c>
      <c r="C6" s="73"/>
      <c r="D6" s="102"/>
      <c r="E6" s="122"/>
      <c r="F6" s="122"/>
      <c r="G6" s="122"/>
      <c r="H6" s="72"/>
      <c r="I6" s="122"/>
      <c r="J6" s="72"/>
      <c r="K6" s="72"/>
      <c r="L6" s="72"/>
      <c r="M6" s="72"/>
      <c r="N6" s="65"/>
      <c r="O6" s="65"/>
      <c r="P6" s="65"/>
      <c r="Q6" s="65"/>
      <c r="R6" s="65"/>
      <c r="S6" s="65"/>
      <c r="T6" s="65"/>
      <c r="U6" s="67"/>
      <c r="V6" s="65"/>
      <c r="W6" s="65"/>
      <c r="X6" s="65"/>
      <c r="Y6" s="65"/>
    </row>
    <row r="7" spans="1:29">
      <c r="A7" s="192" t="s">
        <v>422</v>
      </c>
      <c r="B7" s="190" t="s">
        <v>423</v>
      </c>
      <c r="C7" s="73"/>
      <c r="D7" s="102"/>
      <c r="E7" s="78"/>
      <c r="F7" s="78"/>
      <c r="G7" s="113"/>
      <c r="H7" s="105"/>
      <c r="I7" s="78"/>
      <c r="J7" s="78"/>
      <c r="K7" s="65" t="s">
        <v>598</v>
      </c>
      <c r="L7" s="78"/>
      <c r="M7" s="78"/>
      <c r="N7" s="65"/>
      <c r="O7" s="85"/>
      <c r="P7" s="65"/>
      <c r="Q7" s="65"/>
      <c r="R7" s="65"/>
      <c r="S7" s="65"/>
      <c r="T7" s="65"/>
      <c r="U7" s="67"/>
      <c r="V7" s="65"/>
      <c r="W7" s="65"/>
      <c r="X7" s="65"/>
      <c r="Y7" s="65"/>
    </row>
    <row r="8" spans="1:29" ht="28.5">
      <c r="A8" s="210"/>
      <c r="B8" s="212"/>
      <c r="C8" s="73"/>
      <c r="D8" s="72" t="s">
        <v>599</v>
      </c>
      <c r="E8" s="78"/>
      <c r="F8" s="87"/>
      <c r="G8" s="97"/>
      <c r="H8" s="105"/>
      <c r="I8" s="78"/>
      <c r="J8" s="87"/>
      <c r="K8" s="65" t="s">
        <v>595</v>
      </c>
      <c r="L8" s="87"/>
      <c r="M8" s="65" t="s">
        <v>598</v>
      </c>
      <c r="N8" s="65"/>
      <c r="O8" s="43"/>
      <c r="P8" s="65"/>
      <c r="Q8" s="65"/>
      <c r="R8" s="65"/>
      <c r="S8" s="65"/>
      <c r="T8" s="65"/>
      <c r="U8" s="67"/>
      <c r="V8" s="65"/>
      <c r="W8" s="65"/>
      <c r="X8" s="65"/>
      <c r="Y8" s="65"/>
    </row>
    <row r="9" spans="1:29" ht="24" customHeight="1">
      <c r="A9" s="9"/>
      <c r="B9" s="9"/>
      <c r="C9" s="9"/>
      <c r="D9" s="9"/>
      <c r="E9" s="9"/>
      <c r="F9" s="9"/>
      <c r="G9" s="9"/>
      <c r="H9" s="9"/>
      <c r="I9" s="9"/>
      <c r="J9" s="9"/>
      <c r="K9" s="9"/>
      <c r="L9" s="9"/>
      <c r="M9" s="9"/>
      <c r="N9" s="9"/>
      <c r="O9" s="9"/>
      <c r="P9" s="9"/>
      <c r="Q9" s="9"/>
      <c r="R9" s="9"/>
      <c r="S9" s="9"/>
      <c r="T9" s="9"/>
      <c r="U9" s="9"/>
      <c r="V9" s="9"/>
      <c r="W9" s="9"/>
      <c r="X9" s="9"/>
      <c r="Y9" s="9"/>
      <c r="Z9" s="9"/>
      <c r="AA9" s="9"/>
      <c r="AB9" s="9"/>
      <c r="AC9" s="9"/>
    </row>
    <row r="10" spans="1:29" ht="27.75" customHeight="1">
      <c r="A10" s="2" t="s">
        <v>424</v>
      </c>
      <c r="B10" s="197" t="s">
        <v>600</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c r="Z10" s="9"/>
      <c r="AA10" s="9"/>
      <c r="AB10" s="9"/>
      <c r="AC10" s="9"/>
    </row>
    <row r="11" spans="1:29" ht="50.25" customHeight="1">
      <c r="A11" s="2" t="s">
        <v>461</v>
      </c>
      <c r="B11" s="180" t="s">
        <v>601</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c r="Z11" s="9"/>
      <c r="AA11" s="9"/>
      <c r="AB11" s="9"/>
      <c r="AC11" s="9"/>
    </row>
    <row r="12" spans="1:29" ht="36.75" customHeight="1">
      <c r="A12" s="2" t="s">
        <v>462</v>
      </c>
      <c r="B12" s="180" t="s">
        <v>602</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c r="Z12" s="9"/>
      <c r="AA12" s="9"/>
      <c r="AB12" s="9"/>
      <c r="AC12" s="9"/>
    </row>
    <row r="13" spans="1:29" ht="77.25" customHeight="1">
      <c r="A13" s="2" t="s">
        <v>603</v>
      </c>
      <c r="B13" s="180" t="s">
        <v>604</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33.75" customHeight="1">
      <c r="A14" s="2" t="s">
        <v>605</v>
      </c>
      <c r="B14" s="181" t="s">
        <v>606</v>
      </c>
      <c r="C14" s="208"/>
      <c r="D14" s="208"/>
      <c r="E14" s="208"/>
      <c r="F14" s="208"/>
      <c r="G14" s="208"/>
      <c r="H14" s="208"/>
      <c r="I14" s="208"/>
      <c r="J14" s="208"/>
      <c r="K14" s="208"/>
      <c r="L14" s="208"/>
      <c r="M14" s="208"/>
      <c r="N14" s="208"/>
      <c r="O14" s="208"/>
      <c r="P14" s="208"/>
      <c r="Q14" s="208"/>
      <c r="R14" s="208"/>
      <c r="S14" s="208"/>
      <c r="T14" s="208"/>
      <c r="U14" s="208"/>
      <c r="V14" s="208"/>
      <c r="W14" s="208"/>
      <c r="X14" s="208"/>
      <c r="Y14" s="209"/>
    </row>
    <row r="15" spans="1:29">
      <c r="A15" s="2"/>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c r="B16" s="180"/>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sheetData>
  <mergeCells count="10">
    <mergeCell ref="B14:Y14"/>
    <mergeCell ref="B15:Y15"/>
    <mergeCell ref="B16:Y16"/>
    <mergeCell ref="AA1:AC2"/>
    <mergeCell ref="A7:A8"/>
    <mergeCell ref="B7:B8"/>
    <mergeCell ref="B10:Y10"/>
    <mergeCell ref="B11:Y11"/>
    <mergeCell ref="B12:Y12"/>
    <mergeCell ref="B13:Y13"/>
  </mergeCells>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C13"/>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99.75" customHeight="1">
      <c r="A1" s="76" t="s">
        <v>373</v>
      </c>
      <c r="B1" s="77" t="s">
        <v>428</v>
      </c>
      <c r="C1" s="80" t="s">
        <v>375</v>
      </c>
      <c r="D1" s="92" t="s">
        <v>376</v>
      </c>
      <c r="E1" s="92" t="s">
        <v>377</v>
      </c>
      <c r="F1" s="92" t="s">
        <v>378</v>
      </c>
      <c r="G1" s="92" t="s">
        <v>379</v>
      </c>
      <c r="H1" s="92" t="s">
        <v>380</v>
      </c>
      <c r="I1" s="92" t="s">
        <v>381</v>
      </c>
      <c r="J1" s="99" t="s">
        <v>382</v>
      </c>
      <c r="K1" s="99" t="s">
        <v>383</v>
      </c>
      <c r="L1" s="99" t="s">
        <v>384</v>
      </c>
      <c r="M1" s="56" t="s">
        <v>385</v>
      </c>
      <c r="N1" s="56" t="s">
        <v>386</v>
      </c>
      <c r="O1" s="57" t="s">
        <v>387</v>
      </c>
      <c r="P1" s="58" t="s">
        <v>388</v>
      </c>
      <c r="Q1" s="123"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100"/>
      <c r="D2" s="102"/>
      <c r="E2" s="125"/>
      <c r="F2" s="125"/>
      <c r="G2" s="125"/>
      <c r="H2" s="125"/>
      <c r="I2" s="125"/>
      <c r="J2" s="125"/>
      <c r="K2" s="102"/>
      <c r="L2" s="125"/>
      <c r="M2" s="74"/>
      <c r="N2" s="66"/>
      <c r="O2" s="66"/>
      <c r="P2" s="100"/>
      <c r="Q2" s="75"/>
      <c r="R2" s="71"/>
      <c r="S2" s="65"/>
      <c r="T2" s="65"/>
      <c r="U2" s="67"/>
      <c r="V2" s="65"/>
      <c r="W2" s="65"/>
      <c r="X2" s="65"/>
      <c r="Y2" s="65"/>
      <c r="AA2" s="207"/>
      <c r="AB2" s="208"/>
      <c r="AC2" s="209"/>
    </row>
    <row r="3" spans="1:29" ht="51">
      <c r="A3" s="68" t="s">
        <v>402</v>
      </c>
      <c r="B3" s="69" t="s">
        <v>403</v>
      </c>
      <c r="C3" s="43"/>
      <c r="D3" s="70"/>
      <c r="E3" s="70"/>
      <c r="F3" s="75"/>
      <c r="G3" s="75"/>
      <c r="H3" s="70"/>
      <c r="I3" s="75"/>
      <c r="J3" s="70"/>
      <c r="K3" s="70"/>
      <c r="L3" s="75"/>
      <c r="M3" s="75"/>
      <c r="N3" s="75"/>
      <c r="O3" s="75"/>
      <c r="P3" s="75"/>
      <c r="Q3" s="126"/>
      <c r="R3" s="65"/>
      <c r="S3" s="65"/>
      <c r="T3" s="65"/>
      <c r="U3" s="67"/>
      <c r="V3" s="65"/>
      <c r="W3" s="65"/>
      <c r="X3" s="65"/>
      <c r="Y3" s="65"/>
    </row>
    <row r="4" spans="1:29" ht="63.75">
      <c r="A4" s="68" t="s">
        <v>406</v>
      </c>
      <c r="B4" s="63" t="s">
        <v>407</v>
      </c>
      <c r="C4" s="97"/>
      <c r="D4" s="75"/>
      <c r="E4" s="75"/>
      <c r="F4" s="75"/>
      <c r="G4" s="75"/>
      <c r="H4" s="70"/>
      <c r="I4" s="75"/>
      <c r="J4" s="75"/>
      <c r="K4" s="79"/>
      <c r="L4" s="79" t="s">
        <v>607</v>
      </c>
      <c r="M4" s="75"/>
      <c r="N4" s="75"/>
      <c r="O4" s="70"/>
      <c r="P4" s="114"/>
      <c r="Q4" s="75"/>
      <c r="R4" s="71"/>
      <c r="S4" s="65"/>
      <c r="T4" s="65"/>
      <c r="U4" s="67"/>
      <c r="V4" s="65"/>
      <c r="W4" s="65"/>
      <c r="X4" s="65"/>
      <c r="Y4" s="65"/>
    </row>
    <row r="5" spans="1:29" ht="51">
      <c r="A5" s="68" t="s">
        <v>410</v>
      </c>
      <c r="B5" s="63" t="s">
        <v>411</v>
      </c>
      <c r="C5" s="73"/>
      <c r="D5" s="79"/>
      <c r="E5" s="75"/>
      <c r="F5" s="75"/>
      <c r="G5" s="75"/>
      <c r="H5" s="75"/>
      <c r="I5" s="75"/>
      <c r="J5" s="70"/>
      <c r="K5" s="70"/>
      <c r="L5" s="70"/>
      <c r="M5" s="75"/>
      <c r="N5" s="75"/>
      <c r="O5" s="75"/>
      <c r="P5" s="75"/>
      <c r="Q5" s="78"/>
      <c r="R5" s="65"/>
      <c r="S5" s="65"/>
      <c r="T5" s="65"/>
      <c r="U5" s="67"/>
      <c r="V5" s="65"/>
      <c r="W5" s="65"/>
      <c r="X5" s="65"/>
      <c r="Y5" s="65"/>
    </row>
    <row r="6" spans="1:29" ht="51">
      <c r="A6" s="88" t="s">
        <v>412</v>
      </c>
      <c r="B6" s="89" t="s">
        <v>431</v>
      </c>
      <c r="C6" s="104"/>
      <c r="D6" s="70"/>
      <c r="E6" s="75"/>
      <c r="F6" s="75"/>
      <c r="G6" s="75"/>
      <c r="H6" s="70"/>
      <c r="I6" s="75"/>
      <c r="J6" s="70"/>
      <c r="K6" s="70"/>
      <c r="L6" s="70" t="s">
        <v>608</v>
      </c>
      <c r="M6" s="75" t="s">
        <v>609</v>
      </c>
      <c r="N6" s="75" t="s">
        <v>609</v>
      </c>
      <c r="O6" s="75" t="s">
        <v>609</v>
      </c>
      <c r="P6" s="75"/>
      <c r="Q6" s="71"/>
      <c r="R6" s="65"/>
      <c r="S6" s="65"/>
      <c r="T6" s="65"/>
      <c r="U6" s="67"/>
      <c r="V6" s="65"/>
      <c r="W6" s="65"/>
      <c r="X6" s="65"/>
      <c r="Y6" s="65"/>
    </row>
    <row r="7" spans="1:29" ht="51">
      <c r="A7" s="68" t="s">
        <v>422</v>
      </c>
      <c r="B7" s="90" t="s">
        <v>423</v>
      </c>
      <c r="C7" s="73"/>
      <c r="D7" s="70"/>
      <c r="E7" s="75"/>
      <c r="F7" s="75"/>
      <c r="G7" s="75"/>
      <c r="H7" s="75"/>
      <c r="I7" s="75"/>
      <c r="J7" s="70"/>
      <c r="K7" s="70"/>
      <c r="L7" s="75"/>
      <c r="M7" s="75"/>
      <c r="N7" s="75"/>
      <c r="O7" s="70"/>
      <c r="P7" s="75"/>
      <c r="Q7" s="71"/>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514</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ht="26.25" customHeight="1">
      <c r="A12" s="2" t="s">
        <v>610</v>
      </c>
      <c r="B12" s="180" t="s">
        <v>611</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c r="B13" s="180"/>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sheetData>
  <mergeCells count="7">
    <mergeCell ref="B12:Y12"/>
    <mergeCell ref="B13:Y13"/>
    <mergeCell ref="AA1:AC2"/>
    <mergeCell ref="A8:AC8"/>
    <mergeCell ref="B9:Y9"/>
    <mergeCell ref="B10:Y10"/>
    <mergeCell ref="B11:Y11"/>
  </mergeCells>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C13"/>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14" customHeight="1">
      <c r="A1" s="76" t="s">
        <v>373</v>
      </c>
      <c r="B1" s="77" t="s">
        <v>428</v>
      </c>
      <c r="C1" s="80" t="s">
        <v>375</v>
      </c>
      <c r="D1" s="92" t="s">
        <v>376</v>
      </c>
      <c r="E1" s="92" t="s">
        <v>377</v>
      </c>
      <c r="F1" s="92" t="s">
        <v>378</v>
      </c>
      <c r="G1" s="92" t="s">
        <v>379</v>
      </c>
      <c r="H1" s="92" t="s">
        <v>380</v>
      </c>
      <c r="I1" s="92" t="s">
        <v>381</v>
      </c>
      <c r="J1" s="99" t="s">
        <v>382</v>
      </c>
      <c r="K1" s="99" t="s">
        <v>383</v>
      </c>
      <c r="L1" s="99" t="s">
        <v>384</v>
      </c>
      <c r="M1" s="56" t="s">
        <v>385</v>
      </c>
      <c r="N1" s="56" t="s">
        <v>386</v>
      </c>
      <c r="O1" s="57" t="s">
        <v>387</v>
      </c>
      <c r="P1" s="58" t="s">
        <v>388</v>
      </c>
      <c r="Q1" s="123"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100"/>
      <c r="D2" s="102"/>
      <c r="E2" s="125"/>
      <c r="F2" s="125"/>
      <c r="G2" s="125"/>
      <c r="H2" s="125"/>
      <c r="I2" s="125"/>
      <c r="J2" s="125"/>
      <c r="K2" s="102"/>
      <c r="L2" s="125"/>
      <c r="M2" s="74"/>
      <c r="N2" s="66" t="s">
        <v>612</v>
      </c>
      <c r="O2" s="66"/>
      <c r="P2" s="100"/>
      <c r="Q2" s="75"/>
      <c r="R2" s="71"/>
      <c r="S2" s="65"/>
      <c r="T2" s="65"/>
      <c r="U2" s="67"/>
      <c r="V2" s="65"/>
      <c r="W2" s="65"/>
      <c r="X2" s="65"/>
      <c r="Y2" s="65"/>
      <c r="AA2" s="207"/>
      <c r="AB2" s="208"/>
      <c r="AC2" s="209"/>
    </row>
    <row r="3" spans="1:29" ht="51">
      <c r="A3" s="68" t="s">
        <v>402</v>
      </c>
      <c r="B3" s="69" t="s">
        <v>403</v>
      </c>
      <c r="C3" s="43"/>
      <c r="D3" s="70"/>
      <c r="E3" s="70"/>
      <c r="F3" s="75"/>
      <c r="G3" s="75"/>
      <c r="H3" s="70"/>
      <c r="I3" s="75"/>
      <c r="J3" s="70"/>
      <c r="K3" s="70"/>
      <c r="L3" s="75"/>
      <c r="M3" s="75"/>
      <c r="N3" s="75"/>
      <c r="O3" s="75"/>
      <c r="P3" s="75"/>
      <c r="Q3" s="126"/>
      <c r="R3" s="65"/>
      <c r="S3" s="65"/>
      <c r="T3" s="65"/>
      <c r="U3" s="67"/>
      <c r="V3" s="65"/>
      <c r="W3" s="65"/>
      <c r="X3" s="65"/>
      <c r="Y3" s="65"/>
    </row>
    <row r="4" spans="1:29" ht="63.75">
      <c r="A4" s="68" t="s">
        <v>406</v>
      </c>
      <c r="B4" s="63" t="s">
        <v>407</v>
      </c>
      <c r="C4" s="97"/>
      <c r="D4" s="75"/>
      <c r="E4" s="75"/>
      <c r="F4" s="75"/>
      <c r="G4" s="75"/>
      <c r="H4" s="70"/>
      <c r="I4" s="75"/>
      <c r="J4" s="75"/>
      <c r="K4" s="79"/>
      <c r="L4" s="79"/>
      <c r="M4" s="75"/>
      <c r="N4" s="75"/>
      <c r="O4" s="70"/>
      <c r="P4" s="114"/>
      <c r="Q4" s="75" t="s">
        <v>612</v>
      </c>
      <c r="R4" s="71"/>
      <c r="S4" s="65"/>
      <c r="T4" s="65"/>
      <c r="U4" s="67"/>
      <c r="V4" s="65"/>
      <c r="W4" s="65"/>
      <c r="X4" s="65"/>
      <c r="Y4" s="65"/>
    </row>
    <row r="5" spans="1:29" ht="51">
      <c r="A5" s="68" t="s">
        <v>410</v>
      </c>
      <c r="B5" s="63" t="s">
        <v>411</v>
      </c>
      <c r="C5" s="73"/>
      <c r="D5" s="79"/>
      <c r="E5" s="75"/>
      <c r="F5" s="75"/>
      <c r="G5" s="75"/>
      <c r="H5" s="75"/>
      <c r="I5" s="75"/>
      <c r="J5" s="70"/>
      <c r="K5" s="70"/>
      <c r="L5" s="70"/>
      <c r="M5" s="75"/>
      <c r="N5" s="75"/>
      <c r="O5" s="75"/>
      <c r="P5" s="75"/>
      <c r="Q5" s="78"/>
      <c r="R5" s="65"/>
      <c r="S5" s="65"/>
      <c r="T5" s="65"/>
      <c r="U5" s="67"/>
      <c r="V5" s="65"/>
      <c r="W5" s="65"/>
      <c r="X5" s="65"/>
      <c r="Y5" s="65"/>
    </row>
    <row r="6" spans="1:29" ht="51">
      <c r="A6" s="88" t="s">
        <v>412</v>
      </c>
      <c r="B6" s="96" t="s">
        <v>431</v>
      </c>
      <c r="C6" s="73"/>
      <c r="D6" s="70"/>
      <c r="E6" s="75"/>
      <c r="F6" s="75"/>
      <c r="G6" s="75"/>
      <c r="H6" s="70"/>
      <c r="I6" s="75"/>
      <c r="J6" s="70"/>
      <c r="K6" s="70"/>
      <c r="L6" s="70"/>
      <c r="M6" s="75"/>
      <c r="N6" s="75"/>
      <c r="O6" s="75"/>
      <c r="P6" s="75"/>
      <c r="Q6" s="71"/>
      <c r="R6" s="65"/>
      <c r="S6" s="65"/>
      <c r="T6" s="65"/>
      <c r="U6" s="67"/>
      <c r="V6" s="65"/>
      <c r="W6" s="65"/>
      <c r="X6" s="65"/>
      <c r="Y6" s="65"/>
    </row>
    <row r="7" spans="1:29" ht="51">
      <c r="A7" s="68" t="s">
        <v>422</v>
      </c>
      <c r="B7" s="63" t="s">
        <v>423</v>
      </c>
      <c r="C7" s="73"/>
      <c r="D7" s="70"/>
      <c r="E7" s="75"/>
      <c r="F7" s="75"/>
      <c r="G7" s="75"/>
      <c r="H7" s="75"/>
      <c r="I7" s="75"/>
      <c r="J7" s="70"/>
      <c r="K7" s="70"/>
      <c r="L7" s="75"/>
      <c r="M7" s="75"/>
      <c r="N7" s="75"/>
      <c r="O7" s="70"/>
      <c r="P7" s="75"/>
      <c r="Q7" s="71"/>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613</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t="s">
        <v>614</v>
      </c>
      <c r="B12" s="180" t="s">
        <v>615</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c r="B13" s="180"/>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sheetData>
  <mergeCells count="7">
    <mergeCell ref="B12:Y12"/>
    <mergeCell ref="B13:Y13"/>
    <mergeCell ref="AA1:AC2"/>
    <mergeCell ref="A8:AC8"/>
    <mergeCell ref="B9:Y9"/>
    <mergeCell ref="B10:Y10"/>
    <mergeCell ref="B11:Y11"/>
  </mergeCells>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C15"/>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4.2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c r="A3" s="189" t="s">
        <v>402</v>
      </c>
      <c r="B3" s="190" t="s">
        <v>403</v>
      </c>
      <c r="C3" s="65"/>
      <c r="D3" s="65"/>
      <c r="E3" s="65"/>
      <c r="F3" s="65"/>
      <c r="G3" s="44" t="s">
        <v>616</v>
      </c>
      <c r="H3" s="71"/>
      <c r="I3" s="65"/>
      <c r="J3" s="65"/>
      <c r="K3" s="65"/>
      <c r="L3" s="65"/>
      <c r="M3" s="65"/>
      <c r="N3" s="65"/>
      <c r="O3" s="65"/>
      <c r="P3" s="65"/>
      <c r="Q3" s="65"/>
      <c r="R3" s="65"/>
      <c r="S3" s="65"/>
      <c r="T3" s="65"/>
      <c r="U3" s="67"/>
      <c r="V3" s="65"/>
      <c r="W3" s="65"/>
      <c r="X3" s="65"/>
      <c r="Y3" s="65"/>
    </row>
    <row r="4" spans="1:29">
      <c r="A4" s="210"/>
      <c r="B4" s="212"/>
      <c r="C4" s="65"/>
      <c r="D4" s="65"/>
      <c r="E4" s="65"/>
      <c r="F4" s="65"/>
      <c r="G4" s="44" t="s">
        <v>617</v>
      </c>
      <c r="H4" s="71"/>
      <c r="I4" s="65"/>
      <c r="J4" s="65"/>
      <c r="K4" s="65"/>
      <c r="L4" s="65"/>
      <c r="M4" s="65"/>
      <c r="N4" s="65"/>
      <c r="O4" s="65"/>
      <c r="P4" s="65"/>
      <c r="Q4" s="65"/>
      <c r="R4" s="65"/>
      <c r="S4" s="65"/>
      <c r="T4" s="65"/>
      <c r="U4" s="67"/>
      <c r="V4" s="65"/>
      <c r="W4" s="65"/>
      <c r="X4" s="65"/>
      <c r="Y4" s="65"/>
    </row>
    <row r="5" spans="1:29" ht="63.75">
      <c r="A5" s="68" t="s">
        <v>406</v>
      </c>
      <c r="B5" s="63" t="s">
        <v>407</v>
      </c>
      <c r="C5" s="65"/>
      <c r="D5" s="66"/>
      <c r="E5" s="65"/>
      <c r="F5" s="65"/>
      <c r="G5" s="87"/>
      <c r="H5" s="65"/>
      <c r="I5" s="65"/>
      <c r="J5" s="65"/>
      <c r="K5" s="79"/>
      <c r="L5" s="79"/>
      <c r="M5" s="65"/>
      <c r="N5" s="65"/>
      <c r="O5" s="65"/>
      <c r="P5" s="65"/>
      <c r="Q5" s="65"/>
      <c r="R5" s="65"/>
      <c r="S5" s="65"/>
      <c r="T5" s="65"/>
      <c r="U5" s="67"/>
      <c r="V5" s="65"/>
      <c r="W5" s="65"/>
      <c r="X5" s="65"/>
      <c r="Y5" s="65"/>
    </row>
    <row r="6" spans="1:29" ht="51">
      <c r="A6" s="68" t="s">
        <v>410</v>
      </c>
      <c r="B6" s="63" t="s">
        <v>411</v>
      </c>
      <c r="C6" s="73"/>
      <c r="D6" s="79"/>
      <c r="E6" s="71"/>
      <c r="F6" s="65"/>
      <c r="G6" s="65"/>
      <c r="H6" s="65"/>
      <c r="I6" s="65"/>
      <c r="J6" s="65"/>
      <c r="K6" s="65"/>
      <c r="L6" s="65"/>
      <c r="M6" s="65"/>
      <c r="N6" s="65"/>
      <c r="O6" s="65"/>
      <c r="P6" s="65"/>
      <c r="Q6" s="65"/>
      <c r="R6" s="65"/>
      <c r="S6" s="65"/>
      <c r="T6" s="65"/>
      <c r="U6" s="67"/>
      <c r="V6" s="65"/>
      <c r="W6" s="65"/>
      <c r="X6" s="65"/>
      <c r="Y6" s="65"/>
    </row>
    <row r="7" spans="1:29" ht="51">
      <c r="A7" s="95" t="s">
        <v>412</v>
      </c>
      <c r="B7" s="89" t="s">
        <v>431</v>
      </c>
      <c r="C7" s="71"/>
      <c r="D7" s="87"/>
      <c r="E7" s="65"/>
      <c r="F7" s="65"/>
      <c r="G7" s="44" t="s">
        <v>616</v>
      </c>
      <c r="H7" s="65"/>
      <c r="I7" s="65"/>
      <c r="J7" s="65"/>
      <c r="K7" s="65"/>
      <c r="L7" s="65"/>
      <c r="M7" s="65"/>
      <c r="N7" s="65"/>
      <c r="O7" s="65"/>
      <c r="P7" s="65"/>
      <c r="Q7" s="65"/>
      <c r="R7" s="65"/>
      <c r="S7" s="65"/>
      <c r="T7" s="65"/>
      <c r="U7" s="67"/>
      <c r="V7" s="65"/>
      <c r="W7" s="65"/>
      <c r="X7" s="65"/>
      <c r="Y7" s="65"/>
    </row>
    <row r="8" spans="1:29" ht="51">
      <c r="A8" s="86" t="s">
        <v>422</v>
      </c>
      <c r="B8" s="90" t="s">
        <v>423</v>
      </c>
      <c r="C8" s="65"/>
      <c r="D8" s="65"/>
      <c r="E8" s="65"/>
      <c r="F8" s="65"/>
      <c r="G8" s="65"/>
      <c r="H8" s="65"/>
      <c r="I8" s="65"/>
      <c r="J8" s="65"/>
      <c r="K8" s="65"/>
      <c r="L8" s="65"/>
      <c r="M8" s="65"/>
      <c r="N8" s="65"/>
      <c r="O8" s="65"/>
      <c r="P8" s="65"/>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c r="A10" s="2" t="s">
        <v>424</v>
      </c>
      <c r="B10" s="180" t="s">
        <v>618</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461</v>
      </c>
      <c r="B11" s="180" t="s">
        <v>619</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28.5">
      <c r="A12" s="2" t="s">
        <v>462</v>
      </c>
      <c r="B12" s="181" t="s">
        <v>620</v>
      </c>
      <c r="C12" s="208"/>
      <c r="D12" s="208"/>
      <c r="E12" s="208"/>
      <c r="F12" s="208"/>
      <c r="G12" s="208"/>
      <c r="H12" s="208"/>
      <c r="I12" s="208"/>
      <c r="J12" s="208"/>
      <c r="K12" s="208"/>
      <c r="L12" s="208"/>
      <c r="M12" s="208"/>
      <c r="N12" s="208"/>
      <c r="O12" s="208"/>
      <c r="P12" s="208"/>
      <c r="Q12" s="208"/>
      <c r="R12" s="208"/>
      <c r="S12" s="208"/>
      <c r="T12" s="208"/>
      <c r="U12" s="208"/>
      <c r="V12" s="208"/>
      <c r="W12" s="208"/>
      <c r="X12" s="208"/>
      <c r="Y12" s="209"/>
    </row>
    <row r="13" spans="1:29">
      <c r="A13" s="2" t="s">
        <v>621</v>
      </c>
      <c r="B13" s="180" t="s">
        <v>622</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18" customHeight="1">
      <c r="A14" s="2" t="s">
        <v>623</v>
      </c>
      <c r="B14" s="180" t="s">
        <v>624</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sheetData>
  <mergeCells count="10">
    <mergeCell ref="B13:Y13"/>
    <mergeCell ref="B14:Y14"/>
    <mergeCell ref="B15:Y15"/>
    <mergeCell ref="AA1:AC2"/>
    <mergeCell ref="A3:A4"/>
    <mergeCell ref="B3:B4"/>
    <mergeCell ref="A9:AC9"/>
    <mergeCell ref="B10:Y10"/>
    <mergeCell ref="B11:Y11"/>
    <mergeCell ref="B12:Y12"/>
  </mergeCells>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C17"/>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94.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t="s">
        <v>625</v>
      </c>
      <c r="O2" s="65"/>
      <c r="P2" s="65"/>
      <c r="Q2" s="65"/>
      <c r="R2" s="65"/>
      <c r="S2" s="65"/>
      <c r="T2" s="65"/>
      <c r="U2" s="67"/>
      <c r="V2" s="65"/>
      <c r="W2" s="65"/>
      <c r="X2" s="65"/>
      <c r="Y2" s="65"/>
      <c r="AA2" s="207"/>
      <c r="AB2" s="208"/>
      <c r="AC2" s="209"/>
    </row>
    <row r="3" spans="1:29" ht="51">
      <c r="A3" s="68" t="s">
        <v>402</v>
      </c>
      <c r="B3" s="63" t="s">
        <v>403</v>
      </c>
      <c r="C3" s="65" t="s">
        <v>626</v>
      </c>
      <c r="D3" s="65"/>
      <c r="E3" s="65"/>
      <c r="F3" s="65"/>
      <c r="G3" s="65"/>
      <c r="H3" s="65"/>
      <c r="I3" s="65"/>
      <c r="J3" s="65"/>
      <c r="K3" s="65"/>
      <c r="L3" s="65"/>
      <c r="M3" s="65"/>
      <c r="N3" s="65"/>
      <c r="O3" s="65"/>
      <c r="P3" s="65" t="s">
        <v>627</v>
      </c>
      <c r="Q3" s="65" t="s">
        <v>628</v>
      </c>
      <c r="R3" s="65"/>
      <c r="S3" s="65"/>
      <c r="T3" s="65"/>
      <c r="U3" s="65"/>
      <c r="V3" s="65"/>
      <c r="W3" s="65"/>
      <c r="X3" s="65"/>
      <c r="Y3" s="65"/>
    </row>
    <row r="4" spans="1:29" ht="63.75">
      <c r="A4" s="68" t="s">
        <v>406</v>
      </c>
      <c r="B4" s="63" t="s">
        <v>407</v>
      </c>
      <c r="C4" s="65"/>
      <c r="D4" s="66"/>
      <c r="E4" s="65"/>
      <c r="F4" s="65"/>
      <c r="G4" s="65"/>
      <c r="H4" s="65"/>
      <c r="I4" s="65"/>
      <c r="J4" s="65"/>
      <c r="K4" s="79"/>
      <c r="L4" s="79"/>
      <c r="M4" s="65"/>
      <c r="N4" s="65"/>
      <c r="O4" s="65"/>
      <c r="P4" s="65" t="s">
        <v>627</v>
      </c>
      <c r="Q4" s="65"/>
      <c r="R4" s="65"/>
      <c r="S4" s="65"/>
      <c r="T4" s="65"/>
      <c r="U4" s="67"/>
      <c r="V4" s="65"/>
      <c r="W4" s="65"/>
      <c r="X4" s="65"/>
      <c r="Y4" s="65"/>
    </row>
    <row r="5" spans="1:29" ht="51">
      <c r="A5" s="68" t="s">
        <v>410</v>
      </c>
      <c r="B5" s="63" t="s">
        <v>411</v>
      </c>
      <c r="C5" s="73"/>
      <c r="D5" s="79"/>
      <c r="E5" s="65" t="s">
        <v>629</v>
      </c>
      <c r="F5" s="65"/>
      <c r="G5" s="65"/>
      <c r="H5" s="65"/>
      <c r="I5" s="65"/>
      <c r="J5" s="65"/>
      <c r="K5" s="65"/>
      <c r="L5" s="65"/>
      <c r="M5" s="65"/>
      <c r="N5" s="65"/>
      <c r="O5" s="65"/>
      <c r="P5" s="65"/>
      <c r="Q5" s="65"/>
      <c r="R5" s="65"/>
      <c r="S5" s="65"/>
      <c r="T5" s="65"/>
      <c r="U5" s="67"/>
      <c r="V5" s="65"/>
      <c r="W5" s="65"/>
      <c r="X5" s="65"/>
      <c r="Y5" s="65"/>
    </row>
    <row r="6" spans="1:29" ht="51">
      <c r="A6" s="88" t="s">
        <v>412</v>
      </c>
      <c r="B6" s="89" t="s">
        <v>431</v>
      </c>
      <c r="C6" s="65"/>
      <c r="D6" s="87"/>
      <c r="E6" s="65" t="s">
        <v>629</v>
      </c>
      <c r="F6" s="65"/>
      <c r="G6" s="65"/>
      <c r="H6" s="65"/>
      <c r="I6" s="65"/>
      <c r="J6" s="65"/>
      <c r="K6" s="65"/>
      <c r="L6" s="65" t="s">
        <v>629</v>
      </c>
      <c r="M6" s="65"/>
      <c r="N6" s="65"/>
      <c r="O6" s="65"/>
      <c r="P6" s="65" t="s">
        <v>629</v>
      </c>
      <c r="Q6" s="65" t="s">
        <v>629</v>
      </c>
      <c r="R6" s="65"/>
      <c r="S6" s="65"/>
      <c r="T6" s="65"/>
      <c r="U6" s="65"/>
      <c r="V6" s="65"/>
      <c r="W6" s="65"/>
      <c r="X6" s="65"/>
      <c r="Y6" s="65"/>
    </row>
    <row r="7" spans="1:29">
      <c r="A7" s="189" t="s">
        <v>422</v>
      </c>
      <c r="B7" s="198" t="s">
        <v>423</v>
      </c>
      <c r="C7" s="65" t="s">
        <v>626</v>
      </c>
      <c r="D7" s="87"/>
      <c r="E7" s="65"/>
      <c r="F7" s="65"/>
      <c r="G7" s="65"/>
      <c r="H7" s="65"/>
      <c r="I7" s="65"/>
      <c r="J7" s="65"/>
      <c r="K7" s="65" t="s">
        <v>625</v>
      </c>
      <c r="L7" s="65"/>
      <c r="M7" s="65"/>
      <c r="N7" s="65"/>
      <c r="O7" s="65"/>
      <c r="P7" s="65"/>
      <c r="Q7" s="65" t="s">
        <v>626</v>
      </c>
      <c r="R7" s="65"/>
      <c r="S7" s="65"/>
      <c r="T7" s="65"/>
      <c r="U7" s="65"/>
      <c r="V7" s="65"/>
      <c r="W7" s="65"/>
      <c r="X7" s="65"/>
      <c r="Y7" s="65"/>
    </row>
    <row r="8" spans="1:29">
      <c r="A8" s="210"/>
      <c r="B8" s="212"/>
      <c r="C8" s="65" t="s">
        <v>630</v>
      </c>
      <c r="D8" s="65"/>
      <c r="E8" s="65"/>
      <c r="F8" s="65"/>
      <c r="G8" s="65"/>
      <c r="H8" s="65"/>
      <c r="I8" s="65"/>
      <c r="J8" s="65"/>
      <c r="K8" s="65" t="s">
        <v>630</v>
      </c>
      <c r="L8" s="65"/>
      <c r="M8" s="65"/>
      <c r="N8" s="65" t="s">
        <v>631</v>
      </c>
      <c r="O8" s="65"/>
      <c r="P8" s="65"/>
      <c r="Q8" s="65" t="s">
        <v>630</v>
      </c>
      <c r="R8" s="65"/>
      <c r="S8" s="65"/>
      <c r="T8" s="65"/>
      <c r="U8" s="65"/>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ht="24.75" customHeight="1">
      <c r="A10" s="2" t="s">
        <v>424</v>
      </c>
      <c r="B10" s="180" t="s">
        <v>632</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4.75" customHeight="1">
      <c r="A11" s="2" t="s">
        <v>461</v>
      </c>
      <c r="B11" s="180" t="s">
        <v>633</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28.5">
      <c r="A12" s="2" t="s">
        <v>462</v>
      </c>
      <c r="B12" s="14"/>
      <c r="C12" s="108"/>
      <c r="D12" s="108"/>
      <c r="E12" s="108"/>
      <c r="F12" s="108"/>
      <c r="G12" s="108"/>
      <c r="H12" s="108"/>
      <c r="I12" s="108"/>
      <c r="J12" s="108"/>
      <c r="K12" s="108"/>
      <c r="L12" s="108"/>
      <c r="M12" s="108"/>
      <c r="N12" s="108"/>
      <c r="O12" s="108"/>
      <c r="P12" s="108"/>
      <c r="Q12" s="108"/>
      <c r="R12" s="108"/>
      <c r="S12" s="108"/>
      <c r="T12" s="108"/>
      <c r="U12" s="108"/>
      <c r="V12" s="108"/>
      <c r="W12" s="108"/>
      <c r="X12" s="108"/>
      <c r="Y12" s="109"/>
    </row>
    <row r="13" spans="1:29" ht="16.5" customHeight="1">
      <c r="A13" s="2" t="s">
        <v>634</v>
      </c>
      <c r="B13" s="180" t="s">
        <v>635</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33.75" customHeight="1">
      <c r="A14" s="2" t="s">
        <v>636</v>
      </c>
      <c r="B14" s="181" t="s">
        <v>637</v>
      </c>
      <c r="C14" s="208"/>
      <c r="D14" s="208"/>
      <c r="E14" s="208"/>
      <c r="F14" s="208"/>
      <c r="G14" s="208"/>
      <c r="H14" s="208"/>
      <c r="I14" s="208"/>
      <c r="J14" s="208"/>
      <c r="K14" s="208"/>
      <c r="L14" s="208"/>
      <c r="M14" s="208"/>
      <c r="N14" s="208"/>
      <c r="O14" s="208"/>
      <c r="P14" s="208"/>
      <c r="Q14" s="208"/>
      <c r="R14" s="208"/>
      <c r="S14" s="208"/>
      <c r="T14" s="208"/>
      <c r="U14" s="208"/>
      <c r="V14" s="208"/>
      <c r="W14" s="208"/>
      <c r="X14" s="208"/>
      <c r="Y14" s="209"/>
    </row>
    <row r="15" spans="1:29" ht="33" customHeight="1">
      <c r="A15" s="2" t="s">
        <v>638</v>
      </c>
      <c r="B15" s="180" t="s">
        <v>639</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t="s">
        <v>631</v>
      </c>
      <c r="B16" s="180" t="s">
        <v>640</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c r="A17" s="2" t="s">
        <v>641</v>
      </c>
      <c r="B17" s="180" t="s">
        <v>642</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sheetData>
  <mergeCells count="11">
    <mergeCell ref="A7:A8"/>
    <mergeCell ref="B7:B8"/>
    <mergeCell ref="A9:AC9"/>
    <mergeCell ref="B10:Y10"/>
    <mergeCell ref="B11:Y11"/>
    <mergeCell ref="B14:Y14"/>
    <mergeCell ref="B15:Y15"/>
    <mergeCell ref="B16:Y16"/>
    <mergeCell ref="B17:Y17"/>
    <mergeCell ref="AA1:AC2"/>
    <mergeCell ref="B13:Y13"/>
  </mergeCells>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C14"/>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69.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t="s">
        <v>643</v>
      </c>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t="s">
        <v>644</v>
      </c>
      <c r="J3" s="65"/>
      <c r="K3" s="65"/>
      <c r="L3" s="65"/>
      <c r="M3" s="65"/>
      <c r="N3" s="65"/>
      <c r="O3" s="65"/>
      <c r="P3" s="65"/>
      <c r="Q3" s="65"/>
      <c r="R3" s="65"/>
      <c r="S3" s="65"/>
      <c r="T3" s="65"/>
      <c r="U3" s="67"/>
      <c r="V3" s="65"/>
      <c r="W3" s="65"/>
      <c r="X3" s="65"/>
      <c r="Y3" s="65"/>
    </row>
    <row r="4" spans="1:29" ht="63.75">
      <c r="A4" s="68" t="s">
        <v>406</v>
      </c>
      <c r="B4" s="63" t="s">
        <v>407</v>
      </c>
      <c r="C4" s="65"/>
      <c r="D4" s="66"/>
      <c r="E4" s="65"/>
      <c r="F4" s="65"/>
      <c r="G4" s="65"/>
      <c r="H4" s="65"/>
      <c r="I4" s="65"/>
      <c r="J4" s="65"/>
      <c r="K4" s="79"/>
      <c r="L4" s="79"/>
      <c r="M4" s="65"/>
      <c r="N4" s="65"/>
      <c r="O4" s="65"/>
      <c r="P4" s="65"/>
      <c r="Q4" s="65"/>
      <c r="R4" s="65"/>
      <c r="S4" s="65"/>
      <c r="T4" s="65"/>
      <c r="U4" s="67"/>
      <c r="V4" s="65"/>
      <c r="W4" s="65"/>
      <c r="X4" s="65"/>
      <c r="Y4" s="65"/>
    </row>
    <row r="5" spans="1:29" ht="51">
      <c r="A5" s="68" t="s">
        <v>410</v>
      </c>
      <c r="B5" s="63" t="s">
        <v>411</v>
      </c>
      <c r="C5" s="73"/>
      <c r="D5" s="79"/>
      <c r="E5" s="71"/>
      <c r="F5" s="65"/>
      <c r="G5" s="65"/>
      <c r="H5" s="65"/>
      <c r="I5" s="65" t="s">
        <v>644</v>
      </c>
      <c r="J5" s="65"/>
      <c r="K5" s="65"/>
      <c r="L5" s="65"/>
      <c r="M5" s="65"/>
      <c r="N5" s="65"/>
      <c r="O5" s="65"/>
      <c r="P5" s="65"/>
      <c r="Q5" s="65"/>
      <c r="R5" s="65"/>
      <c r="S5" s="65"/>
      <c r="T5" s="65"/>
      <c r="U5" s="67"/>
      <c r="V5" s="65"/>
      <c r="W5" s="65"/>
      <c r="X5" s="65"/>
      <c r="Y5" s="65"/>
    </row>
    <row r="6" spans="1:29" ht="51">
      <c r="A6" s="88" t="s">
        <v>412</v>
      </c>
      <c r="B6" s="89" t="s">
        <v>431</v>
      </c>
      <c r="C6" s="71"/>
      <c r="D6" s="64"/>
      <c r="E6" s="65"/>
      <c r="F6" s="65"/>
      <c r="G6" s="65"/>
      <c r="H6" s="65"/>
      <c r="I6" s="65"/>
      <c r="J6" s="65"/>
      <c r="K6" s="65"/>
      <c r="L6" s="65"/>
      <c r="M6" s="65"/>
      <c r="N6" s="65"/>
      <c r="O6" s="65"/>
      <c r="P6" s="65"/>
      <c r="Q6" s="65"/>
      <c r="R6" s="65"/>
      <c r="S6" s="65"/>
      <c r="T6" s="65"/>
      <c r="U6" s="67"/>
      <c r="V6" s="65"/>
      <c r="W6" s="65"/>
      <c r="X6" s="65"/>
      <c r="Y6" s="65"/>
    </row>
    <row r="7" spans="1:29" ht="51">
      <c r="A7" s="68" t="s">
        <v>422</v>
      </c>
      <c r="B7" s="90" t="s">
        <v>423</v>
      </c>
      <c r="C7" s="73"/>
      <c r="D7" s="70" t="s">
        <v>645</v>
      </c>
      <c r="E7" s="71"/>
      <c r="F7" s="65"/>
      <c r="G7" s="65"/>
      <c r="H7" s="65"/>
      <c r="I7" s="65"/>
      <c r="J7" s="65"/>
      <c r="K7" s="70" t="s">
        <v>645</v>
      </c>
      <c r="L7" s="65"/>
      <c r="M7" s="65"/>
      <c r="N7" s="65"/>
      <c r="O7" s="65"/>
      <c r="P7" s="70" t="s">
        <v>646</v>
      </c>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647</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0" t="s">
        <v>648</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c r="A12" s="2" t="s">
        <v>649</v>
      </c>
      <c r="B12" s="180" t="s">
        <v>650</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t="s">
        <v>651</v>
      </c>
      <c r="B13" s="180" t="s">
        <v>652</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15" customHeight="1">
      <c r="A14" s="2" t="s">
        <v>653</v>
      </c>
      <c r="B14" s="180" t="s">
        <v>654</v>
      </c>
      <c r="C14" s="211"/>
      <c r="D14" s="211"/>
      <c r="E14" s="211"/>
      <c r="F14" s="211"/>
      <c r="G14" s="211"/>
      <c r="H14" s="211"/>
      <c r="I14" s="211"/>
      <c r="J14" s="211"/>
      <c r="K14" s="211"/>
      <c r="L14" s="211"/>
      <c r="M14" s="211"/>
      <c r="N14" s="211"/>
      <c r="O14" s="211"/>
      <c r="P14" s="211"/>
      <c r="Q14" s="211"/>
      <c r="R14" s="211"/>
      <c r="S14" s="211"/>
      <c r="T14" s="211"/>
      <c r="U14" s="211"/>
      <c r="V14" s="211"/>
      <c r="W14" s="211"/>
      <c r="X14" s="46"/>
      <c r="Y14" s="46"/>
    </row>
  </sheetData>
  <mergeCells count="8">
    <mergeCell ref="B12:Y12"/>
    <mergeCell ref="B13:Y13"/>
    <mergeCell ref="B14:W14"/>
    <mergeCell ref="AA1:AC2"/>
    <mergeCell ref="A8:AC8"/>
    <mergeCell ref="B9:Y9"/>
    <mergeCell ref="B10:Y10"/>
    <mergeCell ref="B11:Y11"/>
  </mergeCells>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C16"/>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23"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1.25" customHeight="1">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65" t="s">
        <v>655</v>
      </c>
      <c r="L3" s="65" t="s">
        <v>655</v>
      </c>
      <c r="M3" s="65"/>
      <c r="N3" s="65"/>
      <c r="O3" s="65"/>
      <c r="P3" s="65" t="s">
        <v>656</v>
      </c>
      <c r="Q3" s="65"/>
      <c r="R3" s="65"/>
      <c r="S3" s="65"/>
      <c r="T3" s="65"/>
      <c r="U3" s="67"/>
      <c r="V3" s="65"/>
      <c r="W3" s="65"/>
      <c r="X3" s="65"/>
      <c r="Y3" s="65"/>
    </row>
    <row r="4" spans="1:29" ht="63.75">
      <c r="A4" s="68" t="s">
        <v>406</v>
      </c>
      <c r="B4" s="63" t="s">
        <v>407</v>
      </c>
      <c r="C4" s="65"/>
      <c r="D4" s="66"/>
      <c r="E4" s="65"/>
      <c r="F4" s="65" t="s">
        <v>655</v>
      </c>
      <c r="G4" s="65"/>
      <c r="H4" s="65"/>
      <c r="I4" s="65"/>
      <c r="J4" s="65"/>
      <c r="K4" s="79"/>
      <c r="L4" s="79" t="s">
        <v>655</v>
      </c>
      <c r="M4" s="65"/>
      <c r="N4" s="65"/>
      <c r="O4" s="65"/>
      <c r="P4" s="65" t="s">
        <v>656</v>
      </c>
      <c r="Q4" s="65"/>
      <c r="R4" s="65"/>
      <c r="S4" s="65"/>
      <c r="T4" s="65"/>
      <c r="U4" s="67"/>
      <c r="V4" s="65"/>
      <c r="W4" s="65"/>
      <c r="X4" s="65"/>
      <c r="Y4" s="65"/>
    </row>
    <row r="5" spans="1:29" ht="51">
      <c r="A5" s="68" t="s">
        <v>410</v>
      </c>
      <c r="B5" s="63" t="s">
        <v>411</v>
      </c>
      <c r="C5" s="73"/>
      <c r="D5" s="79"/>
      <c r="E5" s="71"/>
      <c r="F5" s="65" t="s">
        <v>655</v>
      </c>
      <c r="G5" s="65"/>
      <c r="H5" s="65"/>
      <c r="I5" s="65"/>
      <c r="J5" s="65"/>
      <c r="K5" s="65"/>
      <c r="L5" s="65" t="s">
        <v>657</v>
      </c>
      <c r="M5" s="65"/>
      <c r="N5" s="65"/>
      <c r="O5" s="65"/>
      <c r="P5" s="65"/>
      <c r="Q5" s="65"/>
      <c r="R5" s="65"/>
      <c r="S5" s="65"/>
      <c r="T5" s="65"/>
      <c r="U5" s="67"/>
      <c r="V5" s="65"/>
      <c r="W5" s="65"/>
      <c r="X5" s="65"/>
      <c r="Y5" s="65"/>
    </row>
    <row r="6" spans="1:29" ht="25.5" customHeight="1">
      <c r="A6" s="193" t="s">
        <v>412</v>
      </c>
      <c r="B6" s="194" t="s">
        <v>431</v>
      </c>
      <c r="C6" s="104"/>
      <c r="D6" s="78"/>
      <c r="E6" s="71"/>
      <c r="F6" s="65"/>
      <c r="G6" s="65"/>
      <c r="H6" s="65"/>
      <c r="I6" s="65"/>
      <c r="J6" s="65"/>
      <c r="K6" s="65"/>
      <c r="L6" s="65"/>
      <c r="M6" s="65"/>
      <c r="N6" s="65"/>
      <c r="O6" s="65"/>
      <c r="P6" s="65"/>
      <c r="Q6" s="65"/>
      <c r="R6" s="65"/>
      <c r="S6" s="65"/>
      <c r="T6" s="65"/>
      <c r="U6" s="67"/>
      <c r="V6" s="65"/>
      <c r="W6" s="65"/>
      <c r="X6" s="65"/>
      <c r="Y6" s="65"/>
    </row>
    <row r="7" spans="1:29" ht="25.5" customHeight="1">
      <c r="A7" s="207"/>
      <c r="B7" s="210"/>
      <c r="C7" s="71"/>
      <c r="D7" s="87"/>
      <c r="E7" s="65"/>
      <c r="F7" s="65" t="s">
        <v>658</v>
      </c>
      <c r="G7" s="65"/>
      <c r="H7" s="65"/>
      <c r="I7" s="65"/>
      <c r="J7" s="65"/>
      <c r="K7" s="65"/>
      <c r="L7" s="65"/>
      <c r="M7" s="65"/>
      <c r="N7" s="65"/>
      <c r="O7" s="65"/>
      <c r="P7" s="65" t="s">
        <v>658</v>
      </c>
      <c r="Q7" s="65" t="s">
        <v>658</v>
      </c>
      <c r="R7" s="65"/>
      <c r="S7" s="65"/>
      <c r="T7" s="65"/>
      <c r="U7" s="67"/>
      <c r="V7" s="65"/>
      <c r="W7" s="65"/>
      <c r="X7" s="65"/>
      <c r="Y7" s="65"/>
    </row>
    <row r="8" spans="1:29" ht="51">
      <c r="A8" s="68" t="s">
        <v>422</v>
      </c>
      <c r="B8" s="90" t="s">
        <v>423</v>
      </c>
      <c r="C8" s="65"/>
      <c r="D8" s="65"/>
      <c r="E8" s="65"/>
      <c r="F8" s="65"/>
      <c r="G8" s="65"/>
      <c r="H8" s="65"/>
      <c r="I8" s="65"/>
      <c r="J8" s="65"/>
      <c r="K8" s="65"/>
      <c r="L8" s="65"/>
      <c r="M8" s="65"/>
      <c r="N8" s="65"/>
      <c r="O8" s="65"/>
      <c r="P8" s="65"/>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c r="A10" s="2" t="s">
        <v>424</v>
      </c>
      <c r="B10" s="180" t="s">
        <v>659</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461</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28.5">
      <c r="A12" s="2" t="s">
        <v>462</v>
      </c>
      <c r="B12" s="14"/>
      <c r="C12" s="108"/>
      <c r="D12" s="108"/>
      <c r="E12" s="108"/>
      <c r="F12" s="108"/>
      <c r="G12" s="108"/>
      <c r="H12" s="108"/>
      <c r="I12" s="108"/>
      <c r="J12" s="108"/>
      <c r="K12" s="108"/>
      <c r="L12" s="108"/>
      <c r="M12" s="108"/>
      <c r="N12" s="108"/>
      <c r="O12" s="108"/>
      <c r="P12" s="108"/>
      <c r="Q12" s="108"/>
      <c r="R12" s="108"/>
      <c r="S12" s="108"/>
      <c r="T12" s="108"/>
      <c r="U12" s="108"/>
      <c r="V12" s="108"/>
      <c r="W12" s="108"/>
      <c r="X12" s="108"/>
      <c r="Y12" s="109"/>
    </row>
    <row r="13" spans="1:29">
      <c r="A13" s="2" t="s">
        <v>660</v>
      </c>
      <c r="B13" s="180" t="s">
        <v>661</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36" customHeight="1">
      <c r="A14" s="2" t="s">
        <v>662</v>
      </c>
      <c r="B14" s="180" t="s">
        <v>663</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c r="B16" s="180"/>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sheetData>
  <mergeCells count="10">
    <mergeCell ref="B14:Y14"/>
    <mergeCell ref="B15:Y15"/>
    <mergeCell ref="B16:Y16"/>
    <mergeCell ref="AA1:AC2"/>
    <mergeCell ref="A6:A7"/>
    <mergeCell ref="B6:B7"/>
    <mergeCell ref="A9:AC9"/>
    <mergeCell ref="B10:Y10"/>
    <mergeCell ref="B11:Y11"/>
    <mergeCell ref="B13:Y13"/>
  </mergeCells>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C16"/>
  <sheetViews>
    <sheetView workbookViewId="0"/>
  </sheetViews>
  <sheetFormatPr defaultColWidth="12.5703125" defaultRowHeight="15" customHeight="1"/>
  <cols>
    <col min="1" max="1" width="22.42578125" customWidth="1"/>
    <col min="2" max="25" width="19.7109375" customWidth="1"/>
    <col min="26" max="29" width="8.85546875" customWidth="1"/>
  </cols>
  <sheetData>
    <row r="1" spans="1:29" ht="144.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t="s">
        <v>664</v>
      </c>
      <c r="D3" s="65"/>
      <c r="E3" s="65"/>
      <c r="F3" s="65"/>
      <c r="G3" s="65"/>
      <c r="H3" s="65"/>
      <c r="I3" s="65"/>
      <c r="J3" s="65"/>
      <c r="K3" s="65"/>
      <c r="L3" s="65"/>
      <c r="M3" s="65"/>
      <c r="N3" s="65"/>
      <c r="O3" s="65"/>
      <c r="P3" s="65"/>
      <c r="Q3" s="65"/>
      <c r="R3" s="65"/>
      <c r="S3" s="65"/>
      <c r="T3" s="65"/>
      <c r="U3" s="67"/>
      <c r="V3" s="65"/>
      <c r="W3" s="65"/>
      <c r="X3" s="65"/>
      <c r="Y3" s="65"/>
    </row>
    <row r="4" spans="1:29" ht="63.75">
      <c r="A4" s="68" t="s">
        <v>406</v>
      </c>
      <c r="B4" s="63" t="s">
        <v>407</v>
      </c>
      <c r="C4" s="65"/>
      <c r="D4" s="66"/>
      <c r="E4" s="65"/>
      <c r="F4" s="65"/>
      <c r="G4" s="65"/>
      <c r="H4" s="65"/>
      <c r="I4" s="65"/>
      <c r="J4" s="65"/>
      <c r="K4" s="79"/>
      <c r="L4" s="79"/>
      <c r="M4" s="65"/>
      <c r="N4" s="65"/>
      <c r="O4" s="65"/>
      <c r="P4" s="65"/>
      <c r="Q4" s="65"/>
      <c r="R4" s="65"/>
      <c r="S4" s="65"/>
      <c r="T4" s="65"/>
      <c r="U4" s="67"/>
      <c r="V4" s="65"/>
      <c r="W4" s="65"/>
      <c r="X4" s="65"/>
      <c r="Y4" s="65"/>
    </row>
    <row r="5" spans="1:29" ht="51">
      <c r="A5" s="68" t="s">
        <v>410</v>
      </c>
      <c r="B5" s="63" t="s">
        <v>411</v>
      </c>
      <c r="C5" s="73"/>
      <c r="D5" s="79"/>
      <c r="E5" s="71"/>
      <c r="F5" s="65"/>
      <c r="G5" s="65"/>
      <c r="H5" s="65"/>
      <c r="I5" s="65"/>
      <c r="J5" s="65"/>
      <c r="K5" s="65"/>
      <c r="L5" s="65"/>
      <c r="M5" s="65"/>
      <c r="N5" s="65"/>
      <c r="O5" s="65"/>
      <c r="P5" s="65"/>
      <c r="Q5" s="65"/>
      <c r="R5" s="65"/>
      <c r="S5" s="65"/>
      <c r="T5" s="65"/>
      <c r="U5" s="67"/>
      <c r="V5" s="65"/>
      <c r="W5" s="65"/>
      <c r="X5" s="65"/>
      <c r="Y5" s="65"/>
    </row>
    <row r="6" spans="1:29" ht="26.25" customHeight="1">
      <c r="A6" s="193" t="s">
        <v>412</v>
      </c>
      <c r="B6" s="194" t="s">
        <v>431</v>
      </c>
      <c r="C6" s="65"/>
      <c r="D6" s="65"/>
      <c r="E6" s="65"/>
      <c r="F6" s="65"/>
      <c r="G6" s="65" t="s">
        <v>665</v>
      </c>
      <c r="H6" s="65"/>
      <c r="I6" s="65"/>
      <c r="J6" s="65"/>
      <c r="K6" s="65"/>
      <c r="L6" s="65"/>
      <c r="M6" s="65"/>
      <c r="N6" s="65"/>
      <c r="O6" s="65"/>
      <c r="P6" s="65"/>
      <c r="Q6" s="65"/>
      <c r="R6" s="65"/>
      <c r="S6" s="65"/>
      <c r="T6" s="65"/>
      <c r="U6" s="67"/>
      <c r="V6" s="65"/>
      <c r="W6" s="65"/>
      <c r="X6" s="65"/>
      <c r="Y6" s="65"/>
    </row>
    <row r="7" spans="1:29" ht="26.25" customHeight="1">
      <c r="A7" s="207"/>
      <c r="B7" s="210"/>
      <c r="C7" s="71"/>
      <c r="D7" s="87"/>
      <c r="E7" s="65"/>
      <c r="F7" s="65"/>
      <c r="G7" s="65" t="s">
        <v>666</v>
      </c>
      <c r="H7" s="65"/>
      <c r="I7" s="65"/>
      <c r="J7" s="65"/>
      <c r="K7" s="65"/>
      <c r="L7" s="65"/>
      <c r="M7" s="65"/>
      <c r="N7" s="65" t="s">
        <v>665</v>
      </c>
      <c r="O7" s="65"/>
      <c r="P7" s="65"/>
      <c r="Q7" s="65"/>
      <c r="R7" s="65"/>
      <c r="S7" s="65"/>
      <c r="T7" s="65"/>
      <c r="U7" s="67"/>
      <c r="V7" s="65"/>
      <c r="W7" s="65"/>
      <c r="X7" s="65"/>
      <c r="Y7" s="65"/>
    </row>
    <row r="8" spans="1:29" ht="38.25">
      <c r="A8" s="68" t="s">
        <v>422</v>
      </c>
      <c r="B8" s="90" t="s">
        <v>423</v>
      </c>
      <c r="C8" s="65"/>
      <c r="D8" s="65"/>
      <c r="E8" s="65"/>
      <c r="F8" s="65"/>
      <c r="G8" s="65" t="s">
        <v>667</v>
      </c>
      <c r="H8" s="65"/>
      <c r="I8" s="65"/>
      <c r="J8" s="65"/>
      <c r="K8" s="65" t="s">
        <v>667</v>
      </c>
      <c r="L8" s="65"/>
      <c r="M8" s="65"/>
      <c r="N8" s="65"/>
      <c r="O8" s="65"/>
      <c r="P8" s="65"/>
      <c r="Q8" s="65" t="s">
        <v>667</v>
      </c>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c r="A10" s="2" t="s">
        <v>424</v>
      </c>
      <c r="B10" s="180" t="s">
        <v>668</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461</v>
      </c>
      <c r="B11" s="180" t="s">
        <v>669</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c r="A12" s="2" t="s">
        <v>462</v>
      </c>
      <c r="B12" s="181" t="s">
        <v>670</v>
      </c>
      <c r="C12" s="208"/>
      <c r="D12" s="208"/>
      <c r="E12" s="208"/>
      <c r="F12" s="208"/>
      <c r="G12" s="208"/>
      <c r="H12" s="208"/>
      <c r="I12" s="208"/>
      <c r="J12" s="208"/>
      <c r="K12" s="208"/>
      <c r="L12" s="208"/>
      <c r="M12" s="208"/>
      <c r="N12" s="208"/>
      <c r="O12" s="208"/>
      <c r="P12" s="208"/>
      <c r="Q12" s="208"/>
      <c r="R12" s="208"/>
      <c r="S12" s="208"/>
      <c r="T12" s="208"/>
      <c r="U12" s="208"/>
      <c r="V12" s="208"/>
      <c r="W12" s="208"/>
      <c r="X12" s="208"/>
      <c r="Y12" s="208"/>
    </row>
    <row r="13" spans="1:29">
      <c r="A13" s="2" t="s">
        <v>671</v>
      </c>
      <c r="B13" s="180" t="s">
        <v>672</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2" t="s">
        <v>673</v>
      </c>
      <c r="B14" s="181" t="s">
        <v>674</v>
      </c>
      <c r="C14" s="208"/>
      <c r="D14" s="208"/>
      <c r="E14" s="208"/>
      <c r="F14" s="208"/>
      <c r="G14" s="208"/>
      <c r="H14" s="208"/>
      <c r="I14" s="208"/>
      <c r="J14" s="208"/>
      <c r="K14" s="208"/>
      <c r="L14" s="208"/>
      <c r="M14" s="208"/>
      <c r="N14" s="208"/>
      <c r="O14" s="208"/>
      <c r="P14" s="208"/>
      <c r="Q14" s="208"/>
      <c r="R14" s="208"/>
      <c r="S14" s="208"/>
      <c r="T14" s="208"/>
      <c r="U14" s="208"/>
      <c r="V14" s="208"/>
      <c r="W14" s="208"/>
      <c r="X14" s="208"/>
      <c r="Y14" s="209"/>
    </row>
    <row r="15" spans="1:29">
      <c r="A15" s="2" t="s">
        <v>675</v>
      </c>
      <c r="B15" s="180" t="s">
        <v>676</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c r="B16" s="180"/>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sheetData>
  <mergeCells count="11">
    <mergeCell ref="A6:A7"/>
    <mergeCell ref="B6:B7"/>
    <mergeCell ref="A9:AC9"/>
    <mergeCell ref="B10:Y10"/>
    <mergeCell ref="B11:Y11"/>
    <mergeCell ref="B13:Y13"/>
    <mergeCell ref="B14:Y14"/>
    <mergeCell ref="B15:Y15"/>
    <mergeCell ref="B16:Y16"/>
    <mergeCell ref="AA1:AC2"/>
    <mergeCell ref="B12:Y12"/>
  </mergeCells>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00B0F0"/>
  </sheetPr>
  <dimension ref="A1:AC14"/>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23.75" customHeight="1">
      <c r="A1" s="76" t="s">
        <v>373</v>
      </c>
      <c r="B1" s="77" t="s">
        <v>428</v>
      </c>
      <c r="C1" s="80" t="s">
        <v>375</v>
      </c>
      <c r="D1" s="92" t="s">
        <v>376</v>
      </c>
      <c r="E1" s="92" t="s">
        <v>377</v>
      </c>
      <c r="F1" s="92" t="s">
        <v>378</v>
      </c>
      <c r="G1" s="92" t="s">
        <v>379</v>
      </c>
      <c r="H1" s="92" t="s">
        <v>380</v>
      </c>
      <c r="I1" s="92" t="s">
        <v>381</v>
      </c>
      <c r="J1" s="99" t="s">
        <v>382</v>
      </c>
      <c r="K1" s="99" t="s">
        <v>383</v>
      </c>
      <c r="L1" s="99"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100"/>
      <c r="D2" s="70" t="s">
        <v>677</v>
      </c>
      <c r="E2" s="125"/>
      <c r="F2" s="125"/>
      <c r="G2" s="125"/>
      <c r="H2" s="125"/>
      <c r="I2" s="125"/>
      <c r="J2" s="125"/>
      <c r="K2" s="102"/>
      <c r="L2" s="125"/>
      <c r="M2" s="74"/>
      <c r="N2" s="66"/>
      <c r="O2" s="66"/>
      <c r="P2" s="70" t="s">
        <v>677</v>
      </c>
      <c r="Q2" s="65"/>
      <c r="R2" s="65"/>
      <c r="S2" s="65"/>
      <c r="T2" s="65"/>
      <c r="U2" s="67"/>
      <c r="V2" s="65"/>
      <c r="W2" s="65"/>
      <c r="X2" s="65"/>
      <c r="Y2" s="65"/>
      <c r="AA2" s="207"/>
      <c r="AB2" s="208"/>
      <c r="AC2" s="209"/>
    </row>
    <row r="3" spans="1:29" ht="51">
      <c r="A3" s="68" t="s">
        <v>402</v>
      </c>
      <c r="B3" s="69" t="s">
        <v>403</v>
      </c>
      <c r="C3" s="43"/>
      <c r="D3" s="70"/>
      <c r="E3" s="70"/>
      <c r="F3" s="75"/>
      <c r="G3" s="75"/>
      <c r="H3" s="70"/>
      <c r="I3" s="75"/>
      <c r="J3" s="70"/>
      <c r="K3" s="70"/>
      <c r="L3" s="75"/>
      <c r="M3" s="75"/>
      <c r="N3" s="75"/>
      <c r="O3" s="75"/>
      <c r="P3" s="75"/>
      <c r="Q3" s="71"/>
      <c r="R3" s="65"/>
      <c r="S3" s="65"/>
      <c r="T3" s="65"/>
      <c r="U3" s="67"/>
      <c r="V3" s="65"/>
      <c r="W3" s="65"/>
      <c r="X3" s="65"/>
      <c r="Y3" s="65"/>
    </row>
    <row r="4" spans="1:29" ht="63.75">
      <c r="A4" s="68" t="s">
        <v>406</v>
      </c>
      <c r="B4" s="63" t="s">
        <v>407</v>
      </c>
      <c r="C4" s="97"/>
      <c r="D4" s="75"/>
      <c r="E4" s="75"/>
      <c r="F4" s="75"/>
      <c r="G4" s="75"/>
      <c r="H4" s="70"/>
      <c r="I4" s="75"/>
      <c r="J4" s="75"/>
      <c r="K4" s="79"/>
      <c r="L4" s="79"/>
      <c r="M4" s="75"/>
      <c r="N4" s="75"/>
      <c r="O4" s="70"/>
      <c r="P4" s="75"/>
      <c r="Q4" s="71"/>
      <c r="R4" s="65"/>
      <c r="S4" s="65"/>
      <c r="T4" s="65"/>
      <c r="U4" s="67"/>
      <c r="V4" s="65"/>
      <c r="W4" s="65"/>
      <c r="X4" s="65"/>
      <c r="Y4" s="65"/>
    </row>
    <row r="5" spans="1:29" ht="51">
      <c r="A5" s="68" t="s">
        <v>410</v>
      </c>
      <c r="B5" s="63" t="s">
        <v>411</v>
      </c>
      <c r="C5" s="73"/>
      <c r="D5" s="79"/>
      <c r="E5" s="75"/>
      <c r="F5" s="75"/>
      <c r="G5" s="75"/>
      <c r="H5" s="75"/>
      <c r="I5" s="75"/>
      <c r="J5" s="70"/>
      <c r="K5" s="70"/>
      <c r="L5" s="70"/>
      <c r="M5" s="75"/>
      <c r="N5" s="75"/>
      <c r="O5" s="75"/>
      <c r="P5" s="75"/>
      <c r="Q5" s="71"/>
      <c r="R5" s="65"/>
      <c r="S5" s="65"/>
      <c r="T5" s="65"/>
      <c r="U5" s="67"/>
      <c r="V5" s="65"/>
      <c r="W5" s="65"/>
      <c r="X5" s="65"/>
      <c r="Y5" s="65"/>
    </row>
    <row r="6" spans="1:29" ht="51">
      <c r="A6" s="88" t="s">
        <v>412</v>
      </c>
      <c r="B6" s="89" t="s">
        <v>431</v>
      </c>
      <c r="C6" s="104"/>
      <c r="D6" s="70" t="s">
        <v>678</v>
      </c>
      <c r="E6" s="75"/>
      <c r="F6" s="75"/>
      <c r="G6" s="75"/>
      <c r="H6" s="70"/>
      <c r="I6" s="75"/>
      <c r="J6" s="70" t="s">
        <v>679</v>
      </c>
      <c r="K6" s="70"/>
      <c r="L6" s="70"/>
      <c r="M6" s="75"/>
      <c r="N6" s="75"/>
      <c r="O6" s="75"/>
      <c r="P6" s="70" t="s">
        <v>679</v>
      </c>
      <c r="Q6" s="71"/>
      <c r="R6" s="65"/>
      <c r="S6" s="65"/>
      <c r="T6" s="65"/>
      <c r="U6" s="67"/>
      <c r="V6" s="65"/>
      <c r="W6" s="65"/>
      <c r="X6" s="65"/>
      <c r="Y6" s="65"/>
    </row>
    <row r="7" spans="1:29" ht="51">
      <c r="A7" s="68" t="s">
        <v>422</v>
      </c>
      <c r="B7" s="90" t="s">
        <v>423</v>
      </c>
      <c r="C7" s="73"/>
      <c r="D7" s="70" t="s">
        <v>679</v>
      </c>
      <c r="E7" s="75"/>
      <c r="F7" s="75"/>
      <c r="G7" s="75"/>
      <c r="H7" s="75"/>
      <c r="I7" s="75"/>
      <c r="J7" s="70" t="s">
        <v>679</v>
      </c>
      <c r="K7" s="70" t="s">
        <v>679</v>
      </c>
      <c r="L7" s="75"/>
      <c r="M7" s="75"/>
      <c r="N7" s="75"/>
      <c r="O7" s="70"/>
      <c r="P7" s="75"/>
      <c r="Q7" s="71"/>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680</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t="s">
        <v>681</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t="s">
        <v>682</v>
      </c>
      <c r="B12" s="180" t="s">
        <v>683</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ht="21" customHeight="1">
      <c r="A13" s="2" t="s">
        <v>684</v>
      </c>
      <c r="B13" s="180" t="s">
        <v>685</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2"/>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sheetData>
  <mergeCells count="8">
    <mergeCell ref="B12:Y12"/>
    <mergeCell ref="B13:Y13"/>
    <mergeCell ref="B14:Y14"/>
    <mergeCell ref="AA1:AC2"/>
    <mergeCell ref="A8:AC8"/>
    <mergeCell ref="B9:Y9"/>
    <mergeCell ref="B10:Y10"/>
    <mergeCell ref="B11:Y11"/>
  </mergeCells>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00B0F0"/>
  </sheetPr>
  <dimension ref="A1:AC12"/>
  <sheetViews>
    <sheetView workbookViewId="0"/>
  </sheetViews>
  <sheetFormatPr defaultColWidth="12.5703125" defaultRowHeight="15" customHeight="1"/>
  <cols>
    <col min="1" max="1" width="30.7109375" customWidth="1"/>
    <col min="2" max="25" width="16.7109375" customWidth="1"/>
    <col min="26" max="29" width="8.85546875" customWidth="1"/>
  </cols>
  <sheetData>
    <row r="1" spans="1:29" ht="98.2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102">
      <c r="A2" s="62" t="s">
        <v>399</v>
      </c>
      <c r="B2" s="63" t="s">
        <v>400</v>
      </c>
      <c r="C2" s="65"/>
      <c r="D2" s="65"/>
      <c r="E2" s="65"/>
      <c r="F2" s="65"/>
      <c r="G2" s="65"/>
      <c r="H2" s="65"/>
      <c r="I2" s="65"/>
      <c r="J2" s="65"/>
      <c r="K2" s="65"/>
      <c r="L2" s="65"/>
      <c r="M2" s="65"/>
      <c r="N2" s="65"/>
      <c r="O2" s="65" t="s">
        <v>686</v>
      </c>
      <c r="P2" s="65"/>
      <c r="Q2" s="65"/>
      <c r="R2" s="65"/>
      <c r="S2" s="65"/>
      <c r="T2" s="65"/>
      <c r="U2" s="67"/>
      <c r="V2" s="65"/>
      <c r="W2" s="65"/>
      <c r="X2" s="65"/>
      <c r="Y2" s="65"/>
      <c r="AA2" s="207"/>
      <c r="AB2" s="208"/>
      <c r="AC2" s="209"/>
    </row>
    <row r="3" spans="1:29" ht="89.25">
      <c r="A3" s="68" t="s">
        <v>402</v>
      </c>
      <c r="B3" s="63" t="s">
        <v>403</v>
      </c>
      <c r="C3" s="65"/>
      <c r="D3" s="65"/>
      <c r="E3" s="65"/>
      <c r="F3" s="65"/>
      <c r="G3" s="65"/>
      <c r="H3" s="65"/>
      <c r="I3" s="65"/>
      <c r="J3" s="65"/>
      <c r="K3" s="65"/>
      <c r="L3" s="65"/>
      <c r="M3" s="65"/>
      <c r="N3" s="65"/>
      <c r="O3" s="65" t="s">
        <v>686</v>
      </c>
      <c r="P3" s="65"/>
      <c r="Q3" s="65"/>
      <c r="R3" s="65"/>
      <c r="S3" s="65"/>
      <c r="T3" s="65"/>
      <c r="U3" s="67"/>
      <c r="V3" s="65"/>
      <c r="W3" s="65"/>
      <c r="X3" s="65"/>
      <c r="Y3" s="65"/>
    </row>
    <row r="4" spans="1:29" ht="76.5">
      <c r="A4" s="68" t="s">
        <v>406</v>
      </c>
      <c r="B4" s="63" t="s">
        <v>407</v>
      </c>
      <c r="C4" s="65"/>
      <c r="D4" s="65"/>
      <c r="E4" s="65"/>
      <c r="F4" s="65"/>
      <c r="G4" s="65"/>
      <c r="H4" s="65"/>
      <c r="I4" s="65"/>
      <c r="J4" s="65"/>
      <c r="K4" s="65"/>
      <c r="L4" s="65"/>
      <c r="M4" s="65"/>
      <c r="N4" s="65"/>
      <c r="O4" s="65"/>
      <c r="P4" s="65"/>
      <c r="Q4" s="65"/>
      <c r="R4" s="65"/>
      <c r="S4" s="65"/>
      <c r="T4" s="65"/>
      <c r="U4" s="67"/>
      <c r="V4" s="65"/>
      <c r="W4" s="65"/>
      <c r="X4" s="65"/>
      <c r="Y4" s="65"/>
    </row>
    <row r="5" spans="1:29" ht="63.75">
      <c r="A5" s="68" t="s">
        <v>410</v>
      </c>
      <c r="B5" s="63" t="s">
        <v>411</v>
      </c>
      <c r="C5" s="65"/>
      <c r="D5" s="65"/>
      <c r="E5" s="65"/>
      <c r="F5" s="65"/>
      <c r="G5" s="65"/>
      <c r="H5" s="65"/>
      <c r="I5" s="65"/>
      <c r="J5" s="65"/>
      <c r="K5" s="65"/>
      <c r="L5" s="65"/>
      <c r="M5" s="65"/>
      <c r="N5" s="65"/>
      <c r="O5" s="65"/>
      <c r="P5" s="65"/>
      <c r="Q5" s="65"/>
      <c r="R5" s="65"/>
      <c r="S5" s="65"/>
      <c r="T5" s="65"/>
      <c r="U5" s="67"/>
      <c r="V5" s="65"/>
      <c r="W5" s="65"/>
      <c r="X5" s="65"/>
      <c r="Y5" s="65"/>
    </row>
    <row r="6" spans="1:29" ht="76.5">
      <c r="A6" s="88" t="s">
        <v>412</v>
      </c>
      <c r="B6" s="89" t="s">
        <v>431</v>
      </c>
      <c r="C6" s="70" t="s">
        <v>687</v>
      </c>
      <c r="D6" s="71"/>
      <c r="E6" s="65"/>
      <c r="F6" s="124"/>
      <c r="G6" s="65"/>
      <c r="H6" s="65"/>
      <c r="I6" s="70" t="s">
        <v>688</v>
      </c>
      <c r="J6" s="65"/>
      <c r="K6" s="65"/>
      <c r="L6" s="65"/>
      <c r="M6" s="65"/>
      <c r="N6" s="65"/>
      <c r="O6" s="65"/>
      <c r="P6" s="65"/>
      <c r="Q6" s="65"/>
      <c r="R6" s="65"/>
      <c r="S6" s="65"/>
      <c r="T6" s="65"/>
      <c r="U6" s="67"/>
      <c r="V6" s="65"/>
      <c r="W6" s="65"/>
      <c r="X6" s="65"/>
      <c r="Y6" s="65"/>
    </row>
    <row r="7" spans="1:29" ht="51">
      <c r="A7" s="68" t="s">
        <v>422</v>
      </c>
      <c r="B7" s="90" t="s">
        <v>423</v>
      </c>
      <c r="C7" s="87"/>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514</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ht="27" customHeight="1">
      <c r="A12" s="2" t="s">
        <v>689</v>
      </c>
      <c r="B12" s="180" t="s">
        <v>690</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00B0F0"/>
  </sheetPr>
  <dimension ref="A1:AC12"/>
  <sheetViews>
    <sheetView workbookViewId="0"/>
  </sheetViews>
  <sheetFormatPr defaultColWidth="12.5703125" defaultRowHeight="15" customHeight="1"/>
  <cols>
    <col min="1" max="1" width="30.7109375" customWidth="1"/>
    <col min="2" max="25" width="16.7109375" customWidth="1"/>
    <col min="26" max="29" width="8.85546875" customWidth="1"/>
  </cols>
  <sheetData>
    <row r="1" spans="1:29" ht="137.2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102">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89.25">
      <c r="A3" s="68" t="s">
        <v>402</v>
      </c>
      <c r="B3" s="63" t="s">
        <v>403</v>
      </c>
      <c r="C3" s="65"/>
      <c r="D3" s="65"/>
      <c r="E3" s="65"/>
      <c r="F3" s="65"/>
      <c r="G3" s="65"/>
      <c r="H3" s="65"/>
      <c r="I3" s="65"/>
      <c r="J3" s="65"/>
      <c r="K3" s="65"/>
      <c r="L3" s="65"/>
      <c r="M3" s="65"/>
      <c r="N3" s="65"/>
      <c r="O3" s="65"/>
      <c r="P3" s="65"/>
      <c r="Q3" s="65"/>
      <c r="R3" s="65"/>
      <c r="S3" s="65"/>
      <c r="T3" s="65"/>
      <c r="U3" s="67"/>
      <c r="V3" s="65"/>
      <c r="W3" s="65"/>
      <c r="X3" s="65"/>
      <c r="Y3" s="65"/>
    </row>
    <row r="4" spans="1:29" ht="76.5">
      <c r="A4" s="68" t="s">
        <v>406</v>
      </c>
      <c r="B4" s="63" t="s">
        <v>407</v>
      </c>
      <c r="C4" s="65"/>
      <c r="D4" s="65"/>
      <c r="E4" s="65"/>
      <c r="F4" s="65"/>
      <c r="G4" s="65"/>
      <c r="H4" s="65"/>
      <c r="I4" s="65"/>
      <c r="J4" s="65"/>
      <c r="K4" s="65"/>
      <c r="L4" s="65"/>
      <c r="M4" s="65"/>
      <c r="N4" s="65"/>
      <c r="O4" s="65"/>
      <c r="P4" s="65"/>
      <c r="Q4" s="65"/>
      <c r="R4" s="65"/>
      <c r="S4" s="65"/>
      <c r="T4" s="65"/>
      <c r="U4" s="67"/>
      <c r="V4" s="65"/>
      <c r="W4" s="65"/>
      <c r="X4" s="65"/>
      <c r="Y4" s="65"/>
    </row>
    <row r="5" spans="1:29" ht="63.75">
      <c r="A5" s="68" t="s">
        <v>410</v>
      </c>
      <c r="B5" s="63" t="s">
        <v>411</v>
      </c>
      <c r="C5" s="65"/>
      <c r="D5" s="65"/>
      <c r="E5" s="65"/>
      <c r="F5" s="65"/>
      <c r="G5" s="65"/>
      <c r="H5" s="65"/>
      <c r="I5" s="65"/>
      <c r="J5" s="65"/>
      <c r="K5" s="65"/>
      <c r="L5" s="65"/>
      <c r="M5" s="65"/>
      <c r="N5" s="65"/>
      <c r="O5" s="65"/>
      <c r="P5" s="65"/>
      <c r="Q5" s="65"/>
      <c r="R5" s="65"/>
      <c r="S5" s="65"/>
      <c r="T5" s="65"/>
      <c r="U5" s="67"/>
      <c r="V5" s="65"/>
      <c r="W5" s="65"/>
      <c r="X5" s="65"/>
      <c r="Y5" s="65"/>
    </row>
    <row r="6" spans="1:29" ht="76.5">
      <c r="A6" s="88" t="s">
        <v>412</v>
      </c>
      <c r="B6" s="89" t="s">
        <v>431</v>
      </c>
      <c r="C6" s="71"/>
      <c r="D6" s="65"/>
      <c r="E6" s="65"/>
      <c r="F6" s="79" t="s">
        <v>691</v>
      </c>
      <c r="G6" s="65"/>
      <c r="H6" s="65"/>
      <c r="I6" s="65"/>
      <c r="J6" s="65"/>
      <c r="K6" s="65"/>
      <c r="L6" s="65"/>
      <c r="M6" s="65"/>
      <c r="N6" s="65"/>
      <c r="O6" s="65"/>
      <c r="P6" s="65"/>
      <c r="Q6" s="65"/>
      <c r="R6" s="65"/>
      <c r="S6" s="65"/>
      <c r="T6" s="65"/>
      <c r="U6" s="67"/>
      <c r="V6" s="65"/>
      <c r="W6" s="65"/>
      <c r="X6" s="65"/>
      <c r="Y6" s="65"/>
    </row>
    <row r="7" spans="1:29" ht="51">
      <c r="A7" s="68" t="s">
        <v>422</v>
      </c>
      <c r="B7" s="90"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44" t="s">
        <v>424</v>
      </c>
      <c r="B9" s="191" t="s">
        <v>692</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t="s">
        <v>693</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t="s">
        <v>694</v>
      </c>
      <c r="B12" s="180" t="s">
        <v>695</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D76DCC"/>
  </sheetPr>
  <dimension ref="A1:AC12"/>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69.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6"/>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65"/>
      <c r="L3" s="65"/>
      <c r="M3" s="65"/>
      <c r="N3" s="65"/>
      <c r="O3" s="73"/>
      <c r="P3" s="127"/>
      <c r="Q3" s="71"/>
      <c r="R3" s="65"/>
      <c r="S3" s="65"/>
      <c r="T3" s="65"/>
      <c r="U3" s="67"/>
      <c r="V3" s="65"/>
      <c r="W3" s="65"/>
      <c r="X3" s="65"/>
      <c r="Y3" s="65"/>
    </row>
    <row r="4" spans="1:29" ht="63.75">
      <c r="A4" s="68" t="s">
        <v>406</v>
      </c>
      <c r="B4" s="63" t="s">
        <v>407</v>
      </c>
      <c r="C4" s="65"/>
      <c r="D4" s="66"/>
      <c r="E4" s="65"/>
      <c r="F4" s="115"/>
      <c r="G4" s="115"/>
      <c r="H4" s="65"/>
      <c r="I4" s="65"/>
      <c r="J4" s="65"/>
      <c r="K4" s="79"/>
      <c r="L4" s="79"/>
      <c r="M4" s="65"/>
      <c r="N4" s="65"/>
      <c r="O4" s="116"/>
      <c r="P4" s="87"/>
      <c r="Q4" s="65"/>
      <c r="R4" s="65"/>
      <c r="S4" s="65"/>
      <c r="T4" s="65"/>
      <c r="U4" s="67"/>
      <c r="V4" s="65"/>
      <c r="W4" s="65"/>
      <c r="X4" s="65"/>
      <c r="Y4" s="65"/>
    </row>
    <row r="5" spans="1:29" ht="51">
      <c r="A5" s="68" t="s">
        <v>410</v>
      </c>
      <c r="B5" s="63" t="s">
        <v>411</v>
      </c>
      <c r="C5" s="73"/>
      <c r="D5" s="79"/>
      <c r="E5" s="71"/>
      <c r="F5" s="65"/>
      <c r="G5" s="116"/>
      <c r="H5" s="65"/>
      <c r="I5" s="65"/>
      <c r="J5" s="65"/>
      <c r="K5" s="65"/>
      <c r="L5" s="65"/>
      <c r="M5" s="65"/>
      <c r="N5" s="116"/>
      <c r="O5" s="65"/>
      <c r="P5" s="65"/>
      <c r="Q5" s="65"/>
      <c r="R5" s="65"/>
      <c r="S5" s="65"/>
      <c r="T5" s="65"/>
      <c r="U5" s="67"/>
      <c r="V5" s="65"/>
      <c r="W5" s="65"/>
      <c r="X5" s="65"/>
      <c r="Y5" s="65"/>
    </row>
    <row r="6" spans="1:29" ht="51">
      <c r="A6" s="88" t="s">
        <v>412</v>
      </c>
      <c r="B6" s="96" t="s">
        <v>431</v>
      </c>
      <c r="C6" s="65"/>
      <c r="D6" s="87"/>
      <c r="E6" s="65"/>
      <c r="F6" s="65"/>
      <c r="G6" s="115"/>
      <c r="H6" s="65"/>
      <c r="I6" s="65"/>
      <c r="J6" s="65"/>
      <c r="K6" s="65"/>
      <c r="L6" s="65"/>
      <c r="M6" s="65"/>
      <c r="N6" s="65"/>
      <c r="O6" s="65"/>
      <c r="P6" s="65"/>
      <c r="Q6" s="65"/>
      <c r="R6" s="65"/>
      <c r="S6" s="65"/>
      <c r="T6" s="65"/>
      <c r="U6" s="67"/>
      <c r="V6" s="65"/>
      <c r="W6" s="65"/>
      <c r="X6" s="65"/>
      <c r="Y6" s="65"/>
    </row>
    <row r="7" spans="1:29" ht="5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128" t="s">
        <v>424</v>
      </c>
      <c r="B9" s="199" t="s">
        <v>696</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c r="B12" s="180"/>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D76DCC"/>
  </sheetPr>
  <dimension ref="A1:AC12"/>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85.5" customHeight="1">
      <c r="A1" s="76" t="s">
        <v>373</v>
      </c>
      <c r="B1" s="77" t="s">
        <v>428</v>
      </c>
      <c r="C1" s="80" t="s">
        <v>375</v>
      </c>
      <c r="D1" s="55" t="s">
        <v>376</v>
      </c>
      <c r="E1" s="92"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73"/>
      <c r="E2" s="75"/>
      <c r="F2" s="71"/>
      <c r="G2" s="65"/>
      <c r="H2" s="65"/>
      <c r="I2" s="65"/>
      <c r="J2" s="65"/>
      <c r="K2" s="65"/>
      <c r="L2" s="65"/>
      <c r="M2" s="65"/>
      <c r="N2" s="65"/>
      <c r="O2" s="66"/>
      <c r="P2" s="65"/>
      <c r="Q2" s="65"/>
      <c r="R2" s="65"/>
      <c r="S2" s="65"/>
      <c r="T2" s="65"/>
      <c r="U2" s="67"/>
      <c r="V2" s="65"/>
      <c r="W2" s="65"/>
      <c r="X2" s="65"/>
      <c r="Y2" s="65"/>
      <c r="AA2" s="207"/>
      <c r="AB2" s="208"/>
      <c r="AC2" s="209"/>
    </row>
    <row r="3" spans="1:29" ht="51">
      <c r="A3" s="68" t="s">
        <v>402</v>
      </c>
      <c r="B3" s="63" t="s">
        <v>403</v>
      </c>
      <c r="C3" s="65"/>
      <c r="D3" s="73"/>
      <c r="E3" s="72" t="s">
        <v>697</v>
      </c>
      <c r="F3" s="71"/>
      <c r="G3" s="65"/>
      <c r="H3" s="65"/>
      <c r="I3" s="65"/>
      <c r="J3" s="65"/>
      <c r="K3" s="65"/>
      <c r="L3" s="65"/>
      <c r="M3" s="65"/>
      <c r="N3" s="73"/>
      <c r="O3" s="72" t="s">
        <v>698</v>
      </c>
      <c r="P3" s="71"/>
      <c r="Q3" s="65"/>
      <c r="R3" s="65"/>
      <c r="S3" s="65"/>
      <c r="T3" s="65"/>
      <c r="U3" s="67"/>
      <c r="V3" s="65"/>
      <c r="W3" s="65"/>
      <c r="X3" s="65"/>
      <c r="Y3" s="65"/>
    </row>
    <row r="4" spans="1:29" ht="63.75">
      <c r="A4" s="68" t="s">
        <v>406</v>
      </c>
      <c r="B4" s="63" t="s">
        <v>407</v>
      </c>
      <c r="C4" s="65"/>
      <c r="D4" s="100"/>
      <c r="E4" s="75"/>
      <c r="F4" s="71"/>
      <c r="G4" s="65"/>
      <c r="H4" s="65"/>
      <c r="I4" s="65"/>
      <c r="J4" s="65"/>
      <c r="K4" s="79"/>
      <c r="L4" s="79"/>
      <c r="M4" s="65"/>
      <c r="N4" s="65"/>
      <c r="O4" s="87"/>
      <c r="P4" s="65"/>
      <c r="Q4" s="65"/>
      <c r="R4" s="65"/>
      <c r="S4" s="65"/>
      <c r="T4" s="65"/>
      <c r="U4" s="67"/>
      <c r="V4" s="65"/>
      <c r="W4" s="65"/>
      <c r="X4" s="65"/>
      <c r="Y4" s="65"/>
    </row>
    <row r="5" spans="1:29" ht="51">
      <c r="A5" s="68" t="s">
        <v>410</v>
      </c>
      <c r="B5" s="63" t="s">
        <v>411</v>
      </c>
      <c r="C5" s="73"/>
      <c r="D5" s="94"/>
      <c r="E5" s="75"/>
      <c r="F5" s="71"/>
      <c r="G5" s="65"/>
      <c r="H5" s="65"/>
      <c r="I5" s="65"/>
      <c r="J5" s="65"/>
      <c r="K5" s="65"/>
      <c r="L5" s="65"/>
      <c r="M5" s="65"/>
      <c r="N5" s="65"/>
      <c r="O5" s="65"/>
      <c r="P5" s="65"/>
      <c r="Q5" s="65"/>
      <c r="R5" s="65"/>
      <c r="S5" s="65"/>
      <c r="T5" s="65"/>
      <c r="U5" s="67"/>
      <c r="V5" s="65"/>
      <c r="W5" s="65"/>
      <c r="X5" s="65"/>
      <c r="Y5" s="65"/>
    </row>
    <row r="6" spans="1:29" ht="51">
      <c r="A6" s="88" t="s">
        <v>412</v>
      </c>
      <c r="B6" s="96" t="s">
        <v>431</v>
      </c>
      <c r="C6" s="65"/>
      <c r="D6" s="97"/>
      <c r="E6" s="72" t="s">
        <v>697</v>
      </c>
      <c r="F6" s="71"/>
      <c r="G6" s="65"/>
      <c r="H6" s="65"/>
      <c r="I6" s="65"/>
      <c r="J6" s="65"/>
      <c r="K6" s="65"/>
      <c r="L6" s="65"/>
      <c r="M6" s="65"/>
      <c r="N6" s="65"/>
      <c r="O6" s="65"/>
      <c r="P6" s="65"/>
      <c r="Q6" s="65"/>
      <c r="R6" s="65"/>
      <c r="S6" s="65"/>
      <c r="T6" s="65"/>
      <c r="U6" s="67"/>
      <c r="V6" s="65"/>
      <c r="W6" s="65"/>
      <c r="X6" s="65"/>
      <c r="Y6" s="65"/>
    </row>
    <row r="7" spans="1:29" ht="51">
      <c r="A7" s="68" t="s">
        <v>422</v>
      </c>
      <c r="B7" s="63" t="s">
        <v>423</v>
      </c>
      <c r="C7" s="65"/>
      <c r="D7" s="65"/>
      <c r="E7" s="87"/>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696</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t="s">
        <v>699</v>
      </c>
      <c r="B12" s="180" t="s">
        <v>700</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D76DCC"/>
  </sheetPr>
  <dimension ref="A1:AC15"/>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83.2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t="s">
        <v>701</v>
      </c>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t="s">
        <v>702</v>
      </c>
      <c r="J3" s="65"/>
      <c r="K3" s="65"/>
      <c r="L3" s="65"/>
      <c r="M3" s="65"/>
      <c r="N3" s="65"/>
      <c r="O3" s="65"/>
      <c r="P3" s="43"/>
      <c r="Q3" s="72" t="s">
        <v>702</v>
      </c>
      <c r="R3" s="71"/>
      <c r="S3" s="65"/>
      <c r="T3" s="65"/>
      <c r="U3" s="67"/>
      <c r="V3" s="65"/>
      <c r="W3" s="65"/>
      <c r="X3" s="65"/>
      <c r="Y3" s="65"/>
    </row>
    <row r="4" spans="1:29" ht="63.75">
      <c r="A4" s="68" t="s">
        <v>406</v>
      </c>
      <c r="B4" s="63" t="s">
        <v>407</v>
      </c>
      <c r="C4" s="65"/>
      <c r="D4" s="66"/>
      <c r="E4" s="65"/>
      <c r="F4" s="65"/>
      <c r="G4" s="65"/>
      <c r="H4" s="65"/>
      <c r="I4" s="65"/>
      <c r="J4" s="65"/>
      <c r="K4" s="79"/>
      <c r="L4" s="79"/>
      <c r="M4" s="65"/>
      <c r="N4" s="65"/>
      <c r="O4" s="65"/>
      <c r="P4" s="65"/>
      <c r="Q4" s="87"/>
      <c r="R4" s="65"/>
      <c r="S4" s="65"/>
      <c r="T4" s="65"/>
      <c r="U4" s="67"/>
      <c r="V4" s="65"/>
      <c r="W4" s="65"/>
      <c r="X4" s="65"/>
      <c r="Y4" s="65"/>
    </row>
    <row r="5" spans="1:29" ht="51">
      <c r="A5" s="68" t="s">
        <v>410</v>
      </c>
      <c r="B5" s="63" t="s">
        <v>411</v>
      </c>
      <c r="C5" s="65" t="s">
        <v>703</v>
      </c>
      <c r="D5" s="79"/>
      <c r="E5" s="71"/>
      <c r="F5" s="65"/>
      <c r="G5" s="65"/>
      <c r="H5" s="65"/>
      <c r="I5" s="65" t="s">
        <v>703</v>
      </c>
      <c r="J5" s="65"/>
      <c r="K5" s="65"/>
      <c r="L5" s="65" t="s">
        <v>703</v>
      </c>
      <c r="M5" s="65"/>
      <c r="N5" s="65"/>
      <c r="O5" s="65"/>
      <c r="P5" s="65"/>
      <c r="Q5" s="65"/>
      <c r="R5" s="65"/>
      <c r="S5" s="65"/>
      <c r="T5" s="65"/>
      <c r="U5" s="67"/>
      <c r="V5" s="65"/>
      <c r="W5" s="65"/>
      <c r="X5" s="65"/>
      <c r="Y5" s="65"/>
    </row>
    <row r="6" spans="1:29" ht="51">
      <c r="A6" s="95" t="s">
        <v>412</v>
      </c>
      <c r="B6" s="96" t="s">
        <v>431</v>
      </c>
      <c r="C6" s="65" t="s">
        <v>703</v>
      </c>
      <c r="D6" s="87"/>
      <c r="E6" s="65"/>
      <c r="F6" s="65"/>
      <c r="G6" s="65"/>
      <c r="H6" s="65"/>
      <c r="I6" s="65" t="s">
        <v>703</v>
      </c>
      <c r="J6" s="65"/>
      <c r="K6" s="65"/>
      <c r="L6" s="65" t="s">
        <v>703</v>
      </c>
      <c r="M6" s="65" t="s">
        <v>704</v>
      </c>
      <c r="N6" s="65"/>
      <c r="O6" s="65"/>
      <c r="P6" s="65"/>
      <c r="Q6" s="65"/>
      <c r="R6" s="65"/>
      <c r="S6" s="65"/>
      <c r="T6" s="65"/>
      <c r="U6" s="67"/>
      <c r="V6" s="65"/>
      <c r="W6" s="65"/>
      <c r="X6" s="65"/>
      <c r="Y6" s="65"/>
    </row>
    <row r="7" spans="1:29" ht="51">
      <c r="A7" s="86"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705</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4"/>
      <c r="C11" s="108"/>
      <c r="D11" s="108"/>
      <c r="E11" s="108"/>
      <c r="F11" s="108"/>
      <c r="G11" s="108"/>
      <c r="H11" s="108"/>
      <c r="I11" s="108"/>
      <c r="J11" s="108"/>
      <c r="K11" s="108"/>
      <c r="L11" s="108"/>
      <c r="M11" s="108"/>
      <c r="N11" s="108"/>
      <c r="O11" s="108"/>
      <c r="P11" s="108"/>
      <c r="Q11" s="108"/>
      <c r="R11" s="108"/>
      <c r="S11" s="108"/>
      <c r="T11" s="108"/>
      <c r="U11" s="108"/>
      <c r="V11" s="108"/>
      <c r="W11" s="108"/>
      <c r="X11" s="108"/>
      <c r="Y11" s="109"/>
    </row>
    <row r="12" spans="1:29">
      <c r="A12" s="2" t="s">
        <v>706</v>
      </c>
      <c r="B12" s="180" t="s">
        <v>707</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t="s">
        <v>708</v>
      </c>
      <c r="B13" s="181" t="s">
        <v>709</v>
      </c>
      <c r="C13" s="208"/>
      <c r="D13" s="208"/>
      <c r="E13" s="208"/>
      <c r="F13" s="208"/>
      <c r="G13" s="208"/>
      <c r="H13" s="208"/>
      <c r="I13" s="208"/>
      <c r="J13" s="208"/>
      <c r="K13" s="208"/>
      <c r="L13" s="208"/>
      <c r="M13" s="208"/>
      <c r="N13" s="208"/>
      <c r="O13" s="208"/>
      <c r="P13" s="208"/>
      <c r="Q13" s="208"/>
      <c r="R13" s="208"/>
      <c r="S13" s="208"/>
      <c r="T13" s="208"/>
      <c r="U13" s="208"/>
      <c r="V13" s="208"/>
      <c r="W13" s="208"/>
      <c r="X13" s="208"/>
      <c r="Y13" s="209"/>
    </row>
    <row r="14" spans="1:29" ht="23.25" customHeight="1">
      <c r="A14" s="2" t="s">
        <v>710</v>
      </c>
      <c r="B14" s="180" t="s">
        <v>711</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sheetData>
  <mergeCells count="8">
    <mergeCell ref="B13:Y13"/>
    <mergeCell ref="B14:Y14"/>
    <mergeCell ref="B15:Y15"/>
    <mergeCell ref="AA1:AC2"/>
    <mergeCell ref="A8:AC8"/>
    <mergeCell ref="B9:Y9"/>
    <mergeCell ref="B10:Y10"/>
    <mergeCell ref="B12:Y12"/>
  </mergeCells>
  <pageMargins left="0.7" right="0.7" top="0.75" bottom="0.75"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D76DCC"/>
  </sheetPr>
  <dimension ref="A1:AC12"/>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69.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6"/>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65"/>
      <c r="L3" s="65"/>
      <c r="M3" s="65"/>
      <c r="N3" s="65"/>
      <c r="O3" s="73"/>
      <c r="P3" s="72"/>
      <c r="Q3" s="71"/>
      <c r="R3" s="65"/>
      <c r="S3" s="65"/>
      <c r="T3" s="65"/>
      <c r="U3" s="67"/>
      <c r="V3" s="65"/>
      <c r="W3" s="65"/>
      <c r="X3" s="65"/>
      <c r="Y3" s="65"/>
    </row>
    <row r="4" spans="1:29" ht="63.75">
      <c r="A4" s="68" t="s">
        <v>406</v>
      </c>
      <c r="B4" s="63" t="s">
        <v>407</v>
      </c>
      <c r="C4" s="65"/>
      <c r="D4" s="66"/>
      <c r="E4" s="65"/>
      <c r="F4" s="65"/>
      <c r="G4" s="65"/>
      <c r="H4" s="65"/>
      <c r="I4" s="65"/>
      <c r="J4" s="65"/>
      <c r="K4" s="79"/>
      <c r="L4" s="79"/>
      <c r="M4" s="65"/>
      <c r="N4" s="65"/>
      <c r="O4" s="65"/>
      <c r="P4" s="87"/>
      <c r="Q4" s="65"/>
      <c r="R4" s="65"/>
      <c r="S4" s="65"/>
      <c r="T4" s="65"/>
      <c r="U4" s="67"/>
      <c r="V4" s="65"/>
      <c r="W4" s="65"/>
      <c r="X4" s="65"/>
      <c r="Y4" s="65"/>
    </row>
    <row r="5" spans="1:29" ht="51">
      <c r="A5" s="68" t="s">
        <v>410</v>
      </c>
      <c r="B5" s="63" t="s">
        <v>411</v>
      </c>
      <c r="C5" s="73"/>
      <c r="D5" s="79"/>
      <c r="E5" s="71"/>
      <c r="F5" s="65"/>
      <c r="G5" s="65"/>
      <c r="H5" s="65"/>
      <c r="I5" s="65"/>
      <c r="J5" s="65"/>
      <c r="K5" s="65"/>
      <c r="L5" s="65"/>
      <c r="M5" s="65"/>
      <c r="N5" s="65"/>
      <c r="O5" s="65"/>
      <c r="P5" s="65"/>
      <c r="Q5" s="65"/>
      <c r="R5" s="65"/>
      <c r="S5" s="65"/>
      <c r="T5" s="65"/>
      <c r="U5" s="67"/>
      <c r="V5" s="65"/>
      <c r="W5" s="65"/>
      <c r="X5" s="65"/>
      <c r="Y5" s="65"/>
    </row>
    <row r="6" spans="1:29" ht="51">
      <c r="A6" s="88" t="s">
        <v>412</v>
      </c>
      <c r="B6" s="96" t="s">
        <v>431</v>
      </c>
      <c r="C6" s="65"/>
      <c r="D6" s="87"/>
      <c r="E6" s="65"/>
      <c r="F6" s="65"/>
      <c r="G6" s="65"/>
      <c r="H6" s="65"/>
      <c r="I6" s="65"/>
      <c r="J6" s="65"/>
      <c r="K6" s="65"/>
      <c r="L6" s="65"/>
      <c r="M6" s="65"/>
      <c r="N6" s="65"/>
      <c r="O6" s="65"/>
      <c r="P6" s="65"/>
      <c r="Q6" s="65"/>
      <c r="R6" s="65"/>
      <c r="S6" s="65"/>
      <c r="T6" s="65"/>
      <c r="U6" s="67"/>
      <c r="V6" s="65"/>
      <c r="W6" s="65"/>
      <c r="X6" s="65"/>
      <c r="Y6" s="65"/>
    </row>
    <row r="7" spans="1:29" ht="5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99" t="s">
        <v>712</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99" t="s">
        <v>713</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c r="B12" s="180"/>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sheetData>
  <mergeCells count="6">
    <mergeCell ref="B12:Y12"/>
    <mergeCell ref="AA1:AC2"/>
    <mergeCell ref="A8:AC8"/>
    <mergeCell ref="B9:Y9"/>
    <mergeCell ref="B10:Y10"/>
    <mergeCell ref="B11:Y11"/>
  </mergeCells>
  <pageMargins left="0.7" right="0.7" top="0.75" bottom="0.75"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6C6AC"/>
  </sheetPr>
  <dimension ref="A1:AC17"/>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87"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75" t="s">
        <v>714</v>
      </c>
      <c r="D3" s="71"/>
      <c r="E3" s="65"/>
      <c r="F3" s="65"/>
      <c r="G3" s="65"/>
      <c r="H3" s="65"/>
      <c r="I3" s="65"/>
      <c r="J3" s="65" t="s">
        <v>715</v>
      </c>
      <c r="K3" s="65"/>
      <c r="L3" s="65" t="s">
        <v>715</v>
      </c>
      <c r="M3" s="65"/>
      <c r="N3" s="65"/>
      <c r="O3" s="65"/>
      <c r="P3" s="65"/>
      <c r="Q3" s="65"/>
      <c r="R3" s="65"/>
      <c r="S3" s="65"/>
      <c r="T3" s="65"/>
      <c r="U3" s="67"/>
      <c r="V3" s="65"/>
      <c r="W3" s="65"/>
      <c r="X3" s="65"/>
      <c r="Y3" s="65"/>
    </row>
    <row r="4" spans="1:29" ht="63.75">
      <c r="A4" s="68" t="s">
        <v>406</v>
      </c>
      <c r="B4" s="63" t="s">
        <v>407</v>
      </c>
      <c r="C4" s="87"/>
      <c r="D4" s="75"/>
      <c r="E4" s="71"/>
      <c r="F4" s="65"/>
      <c r="G4" s="65"/>
      <c r="H4" s="65"/>
      <c r="I4" s="65"/>
      <c r="J4" s="65"/>
      <c r="K4" s="79"/>
      <c r="L4" s="79"/>
      <c r="M4" s="65"/>
      <c r="N4" s="65"/>
      <c r="O4" s="65"/>
      <c r="P4" s="65"/>
      <c r="Q4" s="65"/>
      <c r="R4" s="65"/>
      <c r="S4" s="65"/>
      <c r="T4" s="65"/>
      <c r="U4" s="67"/>
      <c r="V4" s="65"/>
      <c r="W4" s="65"/>
      <c r="X4" s="65"/>
      <c r="Y4" s="65"/>
    </row>
    <row r="5" spans="1:29">
      <c r="A5" s="189" t="s">
        <v>410</v>
      </c>
      <c r="B5" s="190" t="s">
        <v>411</v>
      </c>
      <c r="C5" s="73" t="s">
        <v>716</v>
      </c>
      <c r="D5" s="79"/>
      <c r="E5" s="71"/>
      <c r="F5" s="65"/>
      <c r="G5" s="65"/>
      <c r="H5" s="65"/>
      <c r="I5" s="65"/>
      <c r="J5" s="65"/>
      <c r="K5" s="78"/>
      <c r="L5" s="65" t="s">
        <v>717</v>
      </c>
      <c r="M5" s="65"/>
      <c r="N5" s="65"/>
      <c r="O5" s="65"/>
      <c r="P5" s="65"/>
      <c r="Q5" s="65"/>
      <c r="R5" s="65"/>
      <c r="S5" s="65"/>
      <c r="T5" s="65"/>
      <c r="U5" s="67"/>
      <c r="V5" s="65"/>
      <c r="W5" s="65"/>
      <c r="X5" s="65"/>
      <c r="Y5" s="65"/>
    </row>
    <row r="6" spans="1:29">
      <c r="A6" s="206"/>
      <c r="B6" s="213"/>
      <c r="C6" s="73"/>
      <c r="D6" s="79"/>
      <c r="E6" s="71"/>
      <c r="F6" s="65"/>
      <c r="G6" s="65"/>
      <c r="H6" s="65"/>
      <c r="I6" s="65"/>
      <c r="J6" s="65"/>
      <c r="K6" s="78"/>
      <c r="L6" s="65" t="s">
        <v>718</v>
      </c>
      <c r="M6" s="65"/>
      <c r="N6" s="65"/>
      <c r="O6" s="65"/>
      <c r="P6" s="65"/>
      <c r="Q6" s="65"/>
      <c r="R6" s="65"/>
      <c r="S6" s="65"/>
      <c r="T6" s="65"/>
      <c r="U6" s="67"/>
      <c r="V6" s="65"/>
      <c r="W6" s="65"/>
      <c r="X6" s="65"/>
      <c r="Y6" s="65"/>
    </row>
    <row r="7" spans="1:29">
      <c r="A7" s="210"/>
      <c r="B7" s="212"/>
      <c r="C7" s="73"/>
      <c r="D7" s="79"/>
      <c r="E7" s="71"/>
      <c r="F7" s="65"/>
      <c r="G7" s="65" t="s">
        <v>719</v>
      </c>
      <c r="H7" s="65" t="s">
        <v>717</v>
      </c>
      <c r="I7" s="65"/>
      <c r="J7" s="65"/>
      <c r="K7" s="65"/>
      <c r="L7" s="65" t="s">
        <v>716</v>
      </c>
      <c r="M7" s="65"/>
      <c r="N7" s="65" t="s">
        <v>719</v>
      </c>
      <c r="O7" s="65"/>
      <c r="P7" s="65"/>
      <c r="Q7" s="65"/>
      <c r="R7" s="65"/>
      <c r="S7" s="65"/>
      <c r="T7" s="65"/>
      <c r="U7" s="67"/>
      <c r="V7" s="65"/>
      <c r="W7" s="65"/>
      <c r="X7" s="65"/>
      <c r="Y7" s="65"/>
    </row>
    <row r="8" spans="1:29" ht="51">
      <c r="A8" s="95" t="s">
        <v>412</v>
      </c>
      <c r="B8" s="96" t="s">
        <v>431</v>
      </c>
      <c r="C8" s="65"/>
      <c r="D8" s="87"/>
      <c r="E8" s="65"/>
      <c r="F8" s="65"/>
      <c r="G8" s="65"/>
      <c r="H8" s="65"/>
      <c r="I8" s="65"/>
      <c r="J8" s="65"/>
      <c r="K8" s="65"/>
      <c r="L8" s="65"/>
      <c r="M8" s="65"/>
      <c r="N8" s="65"/>
      <c r="O8" s="65"/>
      <c r="P8" s="65"/>
      <c r="Q8" s="65"/>
      <c r="R8" s="65"/>
      <c r="S8" s="65"/>
      <c r="T8" s="65"/>
      <c r="U8" s="67"/>
      <c r="V8" s="65"/>
      <c r="W8" s="65"/>
      <c r="X8" s="65"/>
      <c r="Y8" s="65"/>
    </row>
    <row r="9" spans="1:29" ht="51">
      <c r="A9" s="86" t="s">
        <v>422</v>
      </c>
      <c r="B9" s="63" t="s">
        <v>423</v>
      </c>
      <c r="C9" s="65"/>
      <c r="D9" s="65"/>
      <c r="E9" s="65"/>
      <c r="F9" s="65"/>
      <c r="G9" s="65"/>
      <c r="H9" s="65"/>
      <c r="I9" s="65"/>
      <c r="J9" s="65"/>
      <c r="K9" s="65"/>
      <c r="L9" s="65"/>
      <c r="M9" s="65"/>
      <c r="N9" s="65"/>
      <c r="O9" s="65"/>
      <c r="P9" s="65"/>
      <c r="Q9" s="65"/>
      <c r="R9" s="65"/>
      <c r="S9" s="65"/>
      <c r="T9" s="65"/>
      <c r="U9" s="67"/>
      <c r="V9" s="65"/>
      <c r="W9" s="65"/>
      <c r="X9" s="65"/>
      <c r="Y9" s="65"/>
    </row>
    <row r="10" spans="1:29" ht="24" customHeight="1">
      <c r="A10" s="188"/>
      <c r="B10" s="204"/>
      <c r="C10" s="204"/>
      <c r="D10" s="204"/>
      <c r="E10" s="204"/>
      <c r="F10" s="204"/>
      <c r="G10" s="204"/>
      <c r="H10" s="204"/>
      <c r="I10" s="204"/>
      <c r="J10" s="204"/>
      <c r="K10" s="204"/>
      <c r="L10" s="204"/>
      <c r="M10" s="204"/>
      <c r="N10" s="204"/>
      <c r="O10" s="204"/>
      <c r="P10" s="204"/>
      <c r="Q10" s="204"/>
      <c r="R10" s="204"/>
      <c r="S10" s="204"/>
      <c r="T10" s="204"/>
      <c r="U10" s="204"/>
      <c r="V10" s="204"/>
      <c r="W10" s="204"/>
      <c r="X10" s="204"/>
      <c r="Y10" s="204"/>
      <c r="Z10" s="204"/>
      <c r="AA10" s="204"/>
      <c r="AB10" s="204"/>
      <c r="AC10" s="204"/>
    </row>
    <row r="11" spans="1:29">
      <c r="A11" s="2" t="s">
        <v>424</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c r="A12" s="2" t="s">
        <v>461</v>
      </c>
      <c r="B12" s="180"/>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ht="28.5">
      <c r="A13" s="2" t="s">
        <v>462</v>
      </c>
      <c r="B13" s="14"/>
      <c r="C13" s="108"/>
      <c r="D13" s="108"/>
      <c r="E13" s="108"/>
      <c r="F13" s="108"/>
      <c r="G13" s="108"/>
      <c r="H13" s="108"/>
      <c r="I13" s="108"/>
      <c r="J13" s="108"/>
      <c r="K13" s="108"/>
      <c r="L13" s="108"/>
      <c r="M13" s="108"/>
      <c r="N13" s="108"/>
      <c r="O13" s="108"/>
      <c r="P13" s="108"/>
      <c r="Q13" s="108"/>
      <c r="R13" s="108"/>
      <c r="S13" s="108"/>
      <c r="T13" s="108"/>
      <c r="U13" s="108"/>
      <c r="V13" s="108"/>
      <c r="W13" s="108"/>
      <c r="X13" s="108"/>
      <c r="Y13" s="109"/>
    </row>
    <row r="14" spans="1:29">
      <c r="A14" s="2" t="s">
        <v>720</v>
      </c>
      <c r="B14" s="180" t="s">
        <v>721</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t="s">
        <v>722</v>
      </c>
      <c r="B15" s="181" t="s">
        <v>723</v>
      </c>
      <c r="C15" s="208"/>
      <c r="D15" s="208"/>
      <c r="E15" s="208"/>
      <c r="F15" s="208"/>
      <c r="G15" s="208"/>
      <c r="H15" s="208"/>
      <c r="I15" s="208"/>
      <c r="J15" s="208"/>
      <c r="K15" s="208"/>
      <c r="L15" s="208"/>
      <c r="M15" s="208"/>
      <c r="N15" s="208"/>
      <c r="O15" s="208"/>
      <c r="P15" s="208"/>
      <c r="Q15" s="208"/>
      <c r="R15" s="208"/>
      <c r="S15" s="208"/>
      <c r="T15" s="208"/>
      <c r="U15" s="208"/>
      <c r="V15" s="208"/>
      <c r="W15" s="208"/>
      <c r="X15" s="208"/>
      <c r="Y15" s="209"/>
    </row>
    <row r="16" spans="1:29">
      <c r="A16" s="2" t="s">
        <v>724</v>
      </c>
      <c r="B16" s="180" t="s">
        <v>725</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ht="17.25" customHeight="1">
      <c r="A17" s="2" t="s">
        <v>726</v>
      </c>
      <c r="B17" s="180" t="s">
        <v>727</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sheetData>
  <mergeCells count="10">
    <mergeCell ref="B15:Y15"/>
    <mergeCell ref="B16:Y16"/>
    <mergeCell ref="B17:Y17"/>
    <mergeCell ref="AA1:AC2"/>
    <mergeCell ref="A5:A7"/>
    <mergeCell ref="B5:B7"/>
    <mergeCell ref="A10:AC10"/>
    <mergeCell ref="B11:Y11"/>
    <mergeCell ref="B12:Y12"/>
    <mergeCell ref="B14:Y14"/>
  </mergeCells>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F6C6AC"/>
  </sheetPr>
  <dimension ref="A1:AC17"/>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36.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t="s">
        <v>728</v>
      </c>
      <c r="G2" s="65"/>
      <c r="H2" s="65"/>
      <c r="I2" s="65"/>
      <c r="J2" s="65"/>
      <c r="K2" s="65"/>
      <c r="L2" s="65" t="s">
        <v>728</v>
      </c>
      <c r="M2" s="65"/>
      <c r="N2" s="65" t="s">
        <v>728</v>
      </c>
      <c r="O2" s="65"/>
      <c r="P2" s="65"/>
      <c r="Q2" s="65"/>
      <c r="R2" s="65"/>
      <c r="S2" s="65"/>
      <c r="T2" s="65"/>
      <c r="U2" s="67"/>
      <c r="V2" s="65"/>
      <c r="W2" s="65"/>
      <c r="X2" s="65"/>
      <c r="Y2" s="65"/>
      <c r="AA2" s="207"/>
      <c r="AB2" s="208"/>
      <c r="AC2" s="209"/>
    </row>
    <row r="3" spans="1:29">
      <c r="A3" s="189" t="s">
        <v>402</v>
      </c>
      <c r="B3" s="190" t="s">
        <v>403</v>
      </c>
      <c r="C3" s="65"/>
      <c r="D3" s="65"/>
      <c r="E3" s="65"/>
      <c r="F3" s="65" t="s">
        <v>729</v>
      </c>
      <c r="G3" s="65"/>
      <c r="H3" s="65"/>
      <c r="I3" s="65"/>
      <c r="J3" s="65"/>
      <c r="K3" s="65"/>
      <c r="L3" s="65"/>
      <c r="M3" s="65"/>
      <c r="N3" s="65"/>
      <c r="O3" s="65"/>
      <c r="P3" s="65" t="s">
        <v>729</v>
      </c>
      <c r="Q3" s="65"/>
      <c r="R3" s="65"/>
      <c r="S3" s="65"/>
      <c r="T3" s="65"/>
      <c r="U3" s="67"/>
      <c r="V3" s="65"/>
      <c r="W3" s="65"/>
      <c r="X3" s="65"/>
      <c r="Y3" s="65"/>
    </row>
    <row r="4" spans="1:29">
      <c r="A4" s="210"/>
      <c r="B4" s="212"/>
      <c r="C4" s="65"/>
      <c r="D4" s="65"/>
      <c r="E4" s="65"/>
      <c r="F4" s="65"/>
      <c r="G4" s="65"/>
      <c r="H4" s="65"/>
      <c r="I4" s="65"/>
      <c r="J4" s="65"/>
      <c r="K4" s="65"/>
      <c r="L4" s="65"/>
      <c r="M4" s="65"/>
      <c r="N4" s="65"/>
      <c r="O4" s="65"/>
      <c r="P4" s="65"/>
      <c r="Q4" s="65"/>
      <c r="R4" s="65"/>
      <c r="S4" s="65"/>
      <c r="T4" s="65"/>
      <c r="U4" s="67"/>
      <c r="V4" s="65"/>
      <c r="W4" s="65"/>
      <c r="X4" s="65"/>
      <c r="Y4" s="65"/>
    </row>
    <row r="5" spans="1:29" ht="63.75">
      <c r="A5" s="68" t="s">
        <v>406</v>
      </c>
      <c r="B5" s="63" t="s">
        <v>407</v>
      </c>
      <c r="C5" s="65"/>
      <c r="D5" s="66"/>
      <c r="E5" s="65"/>
      <c r="F5" s="65"/>
      <c r="G5" s="65"/>
      <c r="H5" s="65"/>
      <c r="I5" s="65"/>
      <c r="J5" s="65"/>
      <c r="K5" s="79"/>
      <c r="L5" s="79"/>
      <c r="M5" s="65"/>
      <c r="N5" s="65"/>
      <c r="O5" s="65"/>
      <c r="P5" s="65"/>
      <c r="Q5" s="65"/>
      <c r="R5" s="65"/>
      <c r="S5" s="65"/>
      <c r="T5" s="65"/>
      <c r="U5" s="67"/>
      <c r="V5" s="65"/>
      <c r="W5" s="65"/>
      <c r="X5" s="65"/>
      <c r="Y5" s="65"/>
    </row>
    <row r="6" spans="1:29">
      <c r="A6" s="189" t="s">
        <v>410</v>
      </c>
      <c r="B6" s="190" t="s">
        <v>411</v>
      </c>
      <c r="C6" s="73"/>
      <c r="D6" s="79"/>
      <c r="E6" s="71"/>
      <c r="F6" s="65" t="s">
        <v>728</v>
      </c>
      <c r="G6" s="65"/>
      <c r="H6" s="65"/>
      <c r="I6" s="65"/>
      <c r="J6" s="65"/>
      <c r="K6" s="79"/>
      <c r="L6" s="65" t="s">
        <v>728</v>
      </c>
      <c r="M6" s="65"/>
      <c r="N6" s="65" t="s">
        <v>728</v>
      </c>
      <c r="O6" s="65"/>
      <c r="P6" s="65" t="s">
        <v>728</v>
      </c>
      <c r="Q6" s="65" t="s">
        <v>728</v>
      </c>
      <c r="R6" s="65"/>
      <c r="S6" s="65"/>
      <c r="T6" s="65"/>
      <c r="U6" s="67"/>
      <c r="V6" s="65"/>
      <c r="W6" s="65"/>
      <c r="X6" s="65"/>
      <c r="Y6" s="65"/>
    </row>
    <row r="7" spans="1:29">
      <c r="A7" s="206"/>
      <c r="B7" s="212"/>
      <c r="C7" s="73"/>
      <c r="D7" s="79"/>
      <c r="E7" s="71"/>
      <c r="F7" s="107"/>
      <c r="G7" s="65"/>
      <c r="H7" s="65"/>
      <c r="I7" s="65"/>
      <c r="J7" s="65"/>
      <c r="K7" s="107"/>
      <c r="L7" s="65"/>
      <c r="M7" s="65"/>
      <c r="N7" s="65"/>
      <c r="O7" s="65"/>
      <c r="P7" s="65" t="s">
        <v>729</v>
      </c>
      <c r="Q7" s="65"/>
      <c r="R7" s="65"/>
      <c r="S7" s="65"/>
      <c r="T7" s="65"/>
      <c r="U7" s="67"/>
      <c r="V7" s="65"/>
      <c r="W7" s="65"/>
      <c r="X7" s="65"/>
      <c r="Y7" s="65"/>
    </row>
    <row r="8" spans="1:29" ht="51">
      <c r="A8" s="95" t="s">
        <v>412</v>
      </c>
      <c r="B8" s="96" t="s">
        <v>431</v>
      </c>
      <c r="C8" s="65"/>
      <c r="D8" s="87"/>
      <c r="E8" s="65"/>
      <c r="F8" s="65" t="s">
        <v>730</v>
      </c>
      <c r="G8" s="65"/>
      <c r="H8" s="65"/>
      <c r="I8" s="65"/>
      <c r="J8" s="65"/>
      <c r="K8" s="65"/>
      <c r="L8" s="65"/>
      <c r="M8" s="65"/>
      <c r="N8" s="65"/>
      <c r="O8" s="65"/>
      <c r="P8" s="65"/>
      <c r="Q8" s="65" t="s">
        <v>730</v>
      </c>
      <c r="R8" s="65"/>
      <c r="S8" s="65"/>
      <c r="T8" s="65"/>
      <c r="U8" s="67"/>
      <c r="V8" s="65"/>
      <c r="W8" s="65"/>
      <c r="X8" s="65"/>
      <c r="Y8" s="65"/>
    </row>
    <row r="9" spans="1:29" ht="51">
      <c r="A9" s="86" t="s">
        <v>422</v>
      </c>
      <c r="B9" s="63" t="s">
        <v>423</v>
      </c>
      <c r="C9" s="65"/>
      <c r="D9" s="65"/>
      <c r="E9" s="65"/>
      <c r="F9" s="65"/>
      <c r="G9" s="65"/>
      <c r="H9" s="65"/>
      <c r="I9" s="65"/>
      <c r="J9" s="65"/>
      <c r="K9" s="79"/>
      <c r="L9" s="79"/>
      <c r="M9" s="65"/>
      <c r="N9" s="79"/>
      <c r="O9" s="65"/>
      <c r="P9" s="65"/>
      <c r="Q9" s="65"/>
      <c r="R9" s="65"/>
      <c r="S9" s="65"/>
      <c r="T9" s="65"/>
      <c r="U9" s="67"/>
      <c r="V9" s="65"/>
      <c r="W9" s="65"/>
      <c r="X9" s="65"/>
      <c r="Y9" s="65"/>
    </row>
    <row r="10" spans="1:29" ht="24" customHeight="1">
      <c r="A10" s="188"/>
      <c r="B10" s="204"/>
      <c r="C10" s="204"/>
      <c r="D10" s="204"/>
      <c r="E10" s="204"/>
      <c r="F10" s="204"/>
      <c r="G10" s="204"/>
      <c r="H10" s="204"/>
      <c r="I10" s="204"/>
      <c r="J10" s="204"/>
      <c r="K10" s="204"/>
      <c r="L10" s="204"/>
      <c r="M10" s="204"/>
      <c r="N10" s="204"/>
      <c r="O10" s="204"/>
      <c r="P10" s="204"/>
      <c r="Q10" s="204"/>
      <c r="R10" s="204"/>
      <c r="S10" s="204"/>
      <c r="T10" s="204"/>
      <c r="U10" s="204"/>
      <c r="V10" s="204"/>
      <c r="W10" s="204"/>
      <c r="X10" s="204"/>
      <c r="Y10" s="204"/>
      <c r="Z10" s="204"/>
      <c r="AA10" s="204"/>
      <c r="AB10" s="204"/>
      <c r="AC10" s="204"/>
    </row>
    <row r="11" spans="1:29" ht="33" customHeight="1">
      <c r="A11" s="2" t="s">
        <v>424</v>
      </c>
      <c r="B11" s="180" t="s">
        <v>731</v>
      </c>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33" customHeight="1">
      <c r="A12" s="2" t="s">
        <v>461</v>
      </c>
      <c r="B12" s="180" t="s">
        <v>732</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ht="28.5" customHeight="1">
      <c r="A13" s="2" t="s">
        <v>462</v>
      </c>
      <c r="B13" s="14"/>
      <c r="C13" s="108"/>
      <c r="D13" s="108"/>
      <c r="E13" s="108"/>
      <c r="F13" s="108"/>
      <c r="G13" s="108"/>
      <c r="H13" s="108"/>
      <c r="I13" s="108"/>
      <c r="J13" s="108"/>
      <c r="K13" s="108"/>
      <c r="L13" s="108"/>
      <c r="M13" s="108"/>
      <c r="N13" s="108"/>
      <c r="O13" s="108"/>
      <c r="P13" s="108"/>
      <c r="Q13" s="108"/>
      <c r="R13" s="108"/>
      <c r="S13" s="108"/>
      <c r="T13" s="108"/>
      <c r="U13" s="108"/>
      <c r="V13" s="108"/>
      <c r="W13" s="108"/>
      <c r="X13" s="108"/>
      <c r="Y13" s="109"/>
    </row>
    <row r="14" spans="1:29" ht="29.25" customHeight="1">
      <c r="A14" s="2" t="s">
        <v>733</v>
      </c>
      <c r="B14" s="180" t="s">
        <v>734</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124" t="s">
        <v>735</v>
      </c>
      <c r="B15" s="180" t="s">
        <v>736</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124" t="s">
        <v>737</v>
      </c>
      <c r="B16" s="180" t="s">
        <v>738</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2:25">
      <c r="B17" s="180"/>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sheetData>
  <mergeCells count="12">
    <mergeCell ref="A10:AC10"/>
    <mergeCell ref="B11:Y11"/>
    <mergeCell ref="AA1:AC2"/>
    <mergeCell ref="A3:A4"/>
    <mergeCell ref="B3:B4"/>
    <mergeCell ref="A6:A7"/>
    <mergeCell ref="B6:B7"/>
    <mergeCell ref="B12:Y12"/>
    <mergeCell ref="B14:Y14"/>
    <mergeCell ref="B15:Y15"/>
    <mergeCell ref="B16:Y16"/>
    <mergeCell ref="B17:Y17"/>
  </mergeCells>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F6C6AC"/>
  </sheetPr>
  <dimension ref="A1:AC20"/>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99.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6"/>
      <c r="D2" s="66"/>
      <c r="E2" s="65"/>
      <c r="F2" s="65" t="s">
        <v>739</v>
      </c>
      <c r="G2" s="65"/>
      <c r="H2" s="65"/>
      <c r="I2" s="65"/>
      <c r="J2" s="75"/>
      <c r="K2" s="71"/>
      <c r="L2" s="65"/>
      <c r="M2" s="65"/>
      <c r="N2" s="65"/>
      <c r="O2" s="65"/>
      <c r="P2" s="65"/>
      <c r="Q2" s="65"/>
      <c r="R2" s="65"/>
      <c r="S2" s="65"/>
      <c r="T2" s="65"/>
      <c r="U2" s="67"/>
      <c r="V2" s="65"/>
      <c r="W2" s="65"/>
      <c r="X2" s="65"/>
      <c r="Y2" s="65"/>
      <c r="AA2" s="207"/>
      <c r="AB2" s="208"/>
      <c r="AC2" s="209"/>
    </row>
    <row r="3" spans="1:29" ht="48" customHeight="1">
      <c r="A3" s="189" t="s">
        <v>402</v>
      </c>
      <c r="B3" s="195" t="s">
        <v>403</v>
      </c>
      <c r="C3" s="70"/>
      <c r="D3" s="75"/>
      <c r="E3" s="71"/>
      <c r="F3" s="65"/>
      <c r="G3" s="65"/>
      <c r="H3" s="65"/>
      <c r="I3" s="73"/>
      <c r="J3" s="70"/>
      <c r="K3" s="71"/>
      <c r="L3" s="65"/>
      <c r="M3" s="65"/>
      <c r="N3" s="65"/>
      <c r="O3" s="106" t="s">
        <v>740</v>
      </c>
      <c r="P3" s="106"/>
      <c r="Q3" s="65"/>
      <c r="R3" s="65"/>
      <c r="S3" s="65"/>
      <c r="T3" s="65"/>
      <c r="U3" s="67"/>
      <c r="V3" s="65"/>
      <c r="W3" s="65"/>
      <c r="X3" s="65"/>
      <c r="Y3" s="65"/>
    </row>
    <row r="4" spans="1:29" ht="48" customHeight="1">
      <c r="A4" s="210"/>
      <c r="B4" s="214"/>
      <c r="C4" s="70"/>
      <c r="D4" s="75"/>
      <c r="E4" s="71"/>
      <c r="F4" s="65" t="s">
        <v>741</v>
      </c>
      <c r="G4" s="65"/>
      <c r="H4" s="65"/>
      <c r="I4" s="73"/>
      <c r="J4" s="70" t="s">
        <v>742</v>
      </c>
      <c r="K4" s="71"/>
      <c r="L4" s="65"/>
      <c r="M4" s="65"/>
      <c r="N4" s="65"/>
      <c r="O4" s="70" t="s">
        <v>743</v>
      </c>
      <c r="P4" s="70" t="s">
        <v>744</v>
      </c>
      <c r="Q4" s="65"/>
      <c r="R4" s="65"/>
      <c r="S4" s="65"/>
      <c r="T4" s="65"/>
      <c r="U4" s="67"/>
      <c r="V4" s="65"/>
      <c r="W4" s="65"/>
      <c r="X4" s="65"/>
      <c r="Y4" s="65"/>
    </row>
    <row r="5" spans="1:29" ht="63.75">
      <c r="A5" s="68" t="s">
        <v>406</v>
      </c>
      <c r="B5" s="69" t="s">
        <v>407</v>
      </c>
      <c r="C5" s="70"/>
      <c r="D5" s="75"/>
      <c r="E5" s="71"/>
      <c r="F5" s="65" t="s">
        <v>741</v>
      </c>
      <c r="G5" s="65"/>
      <c r="H5" s="65"/>
      <c r="I5" s="65"/>
      <c r="J5" s="87"/>
      <c r="K5" s="79"/>
      <c r="L5" s="79"/>
      <c r="M5" s="65"/>
      <c r="N5" s="65"/>
      <c r="O5" s="65" t="s">
        <v>745</v>
      </c>
      <c r="P5" s="65"/>
      <c r="Q5" s="65"/>
      <c r="R5" s="65"/>
      <c r="S5" s="65"/>
      <c r="T5" s="65"/>
      <c r="U5" s="67"/>
      <c r="V5" s="65"/>
      <c r="W5" s="65"/>
      <c r="X5" s="65"/>
      <c r="Y5" s="65"/>
    </row>
    <row r="6" spans="1:29" ht="51">
      <c r="A6" s="68" t="s">
        <v>410</v>
      </c>
      <c r="B6" s="63" t="s">
        <v>411</v>
      </c>
      <c r="C6" s="97"/>
      <c r="D6" s="110"/>
      <c r="E6" s="71"/>
      <c r="F6" s="65"/>
      <c r="G6" s="65"/>
      <c r="H6" s="65"/>
      <c r="I6" s="65"/>
      <c r="J6" s="65"/>
      <c r="K6" s="65"/>
      <c r="L6" s="65"/>
      <c r="M6" s="65"/>
      <c r="N6" s="65"/>
      <c r="O6" s="65"/>
      <c r="P6" s="65"/>
      <c r="Q6" s="65"/>
      <c r="R6" s="65"/>
      <c r="S6" s="65"/>
      <c r="T6" s="65"/>
      <c r="U6" s="67"/>
      <c r="V6" s="65"/>
      <c r="W6" s="65"/>
      <c r="X6" s="65"/>
      <c r="Y6" s="65"/>
    </row>
    <row r="7" spans="1:29" ht="51">
      <c r="A7" s="88" t="s">
        <v>412</v>
      </c>
      <c r="B7" s="96" t="s">
        <v>431</v>
      </c>
      <c r="C7" s="70"/>
      <c r="D7" s="64"/>
      <c r="E7" s="66"/>
      <c r="F7" s="65"/>
      <c r="G7" s="65"/>
      <c r="H7" s="65"/>
      <c r="I7" s="65"/>
      <c r="J7" s="65"/>
      <c r="K7" s="65"/>
      <c r="L7" s="65"/>
      <c r="M7" s="65"/>
      <c r="N7" s="65"/>
      <c r="O7" s="70" t="s">
        <v>745</v>
      </c>
      <c r="P7" s="65"/>
      <c r="Q7" s="65"/>
      <c r="R7" s="65"/>
      <c r="S7" s="65"/>
      <c r="T7" s="65"/>
      <c r="U7" s="67"/>
      <c r="V7" s="65"/>
      <c r="W7" s="65"/>
      <c r="X7" s="65"/>
      <c r="Y7" s="65"/>
    </row>
    <row r="8" spans="1:29" ht="51">
      <c r="A8" s="68" t="s">
        <v>422</v>
      </c>
      <c r="B8" s="63" t="s">
        <v>423</v>
      </c>
      <c r="C8" s="82"/>
      <c r="D8" s="70" t="s">
        <v>746</v>
      </c>
      <c r="E8" s="75"/>
      <c r="F8" s="71"/>
      <c r="G8" s="65"/>
      <c r="H8" s="65"/>
      <c r="I8" s="65"/>
      <c r="J8" s="70"/>
      <c r="K8" s="70" t="s">
        <v>746</v>
      </c>
      <c r="L8" s="65"/>
      <c r="M8" s="65"/>
      <c r="N8" s="65"/>
      <c r="O8" s="65"/>
      <c r="P8" s="65"/>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c r="A10" s="2" t="s">
        <v>424</v>
      </c>
      <c r="B10" s="180" t="s">
        <v>747</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461</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28.5">
      <c r="A12" s="2" t="s">
        <v>462</v>
      </c>
      <c r="B12" s="4"/>
      <c r="C12" s="119"/>
      <c r="D12" s="119"/>
      <c r="E12" s="119"/>
      <c r="F12" s="119"/>
      <c r="G12" s="119"/>
      <c r="H12" s="119"/>
      <c r="I12" s="119"/>
      <c r="J12" s="119"/>
      <c r="K12" s="119"/>
      <c r="L12" s="119"/>
      <c r="M12" s="119"/>
      <c r="N12" s="119"/>
      <c r="O12" s="119"/>
      <c r="P12" s="119"/>
      <c r="Q12" s="119"/>
      <c r="R12" s="119"/>
      <c r="S12" s="119"/>
      <c r="T12" s="119"/>
      <c r="U12" s="119"/>
      <c r="V12" s="119"/>
      <c r="W12" s="119"/>
      <c r="X12" s="119"/>
      <c r="Y12" s="120"/>
    </row>
    <row r="13" spans="1:29">
      <c r="A13" s="2" t="s">
        <v>748</v>
      </c>
      <c r="B13" s="180" t="s">
        <v>749</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14.25" customHeight="1">
      <c r="A14" s="2" t="s">
        <v>750</v>
      </c>
      <c r="B14" s="180" t="s">
        <v>751</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t="s">
        <v>752</v>
      </c>
      <c r="B15" s="180" t="s">
        <v>753</v>
      </c>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row r="16" spans="1:29">
      <c r="A16" s="2" t="s">
        <v>754</v>
      </c>
      <c r="B16" s="180" t="s">
        <v>755</v>
      </c>
      <c r="C16" s="211"/>
      <c r="D16" s="211"/>
      <c r="E16" s="211"/>
      <c r="F16" s="211"/>
      <c r="G16" s="211"/>
      <c r="H16" s="211"/>
      <c r="I16" s="211"/>
      <c r="J16" s="211"/>
      <c r="K16" s="211"/>
      <c r="L16" s="211"/>
      <c r="M16" s="211"/>
      <c r="N16" s="211"/>
      <c r="O16" s="211"/>
      <c r="P16" s="211"/>
      <c r="Q16" s="211"/>
      <c r="R16" s="211"/>
      <c r="S16" s="211"/>
      <c r="T16" s="211"/>
      <c r="U16" s="211"/>
      <c r="V16" s="211"/>
      <c r="W16" s="211"/>
      <c r="X16" s="211"/>
      <c r="Y16" s="200"/>
    </row>
    <row r="17" spans="1:25">
      <c r="A17" s="2" t="s">
        <v>756</v>
      </c>
      <c r="B17" s="180" t="s">
        <v>757</v>
      </c>
      <c r="C17" s="211"/>
      <c r="D17" s="211"/>
      <c r="E17" s="211"/>
      <c r="F17" s="211"/>
      <c r="G17" s="211"/>
      <c r="H17" s="211"/>
      <c r="I17" s="211"/>
      <c r="J17" s="211"/>
      <c r="K17" s="211"/>
      <c r="L17" s="211"/>
      <c r="M17" s="211"/>
      <c r="N17" s="211"/>
      <c r="O17" s="211"/>
      <c r="P17" s="211"/>
      <c r="Q17" s="211"/>
      <c r="R17" s="211"/>
      <c r="S17" s="211"/>
      <c r="T17" s="211"/>
      <c r="U17" s="211"/>
      <c r="V17" s="211"/>
      <c r="W17" s="211"/>
      <c r="X17" s="211"/>
      <c r="Y17" s="200"/>
    </row>
    <row r="18" spans="1:25">
      <c r="A18" s="2" t="s">
        <v>758</v>
      </c>
      <c r="B18" s="180" t="s">
        <v>759</v>
      </c>
      <c r="C18" s="211"/>
      <c r="D18" s="211"/>
      <c r="E18" s="211"/>
      <c r="F18" s="211"/>
      <c r="G18" s="211"/>
      <c r="H18" s="211"/>
      <c r="I18" s="211"/>
      <c r="J18" s="211"/>
      <c r="K18" s="211"/>
      <c r="L18" s="211"/>
      <c r="M18" s="211"/>
      <c r="N18" s="211"/>
      <c r="O18" s="211"/>
      <c r="P18" s="211"/>
      <c r="Q18" s="211"/>
      <c r="R18" s="211"/>
      <c r="S18" s="211"/>
      <c r="T18" s="211"/>
      <c r="U18" s="211"/>
      <c r="V18" s="211"/>
      <c r="W18" s="211"/>
      <c r="X18" s="211"/>
      <c r="Y18" s="200"/>
    </row>
    <row r="19" spans="1:25">
      <c r="A19" s="2" t="s">
        <v>760</v>
      </c>
      <c r="B19" s="180" t="s">
        <v>761</v>
      </c>
      <c r="C19" s="211"/>
      <c r="D19" s="211"/>
      <c r="E19" s="211"/>
      <c r="F19" s="211"/>
      <c r="G19" s="211"/>
      <c r="H19" s="211"/>
      <c r="I19" s="211"/>
      <c r="J19" s="211"/>
      <c r="K19" s="211"/>
      <c r="L19" s="211"/>
      <c r="M19" s="211"/>
      <c r="N19" s="211"/>
      <c r="O19" s="211"/>
      <c r="P19" s="211"/>
      <c r="Q19" s="211"/>
      <c r="R19" s="211"/>
      <c r="S19" s="211"/>
      <c r="T19" s="211"/>
      <c r="U19" s="211"/>
      <c r="V19" s="211"/>
      <c r="W19" s="211"/>
      <c r="X19" s="211"/>
      <c r="Y19" s="200"/>
    </row>
    <row r="20" spans="1:25">
      <c r="A20" s="2"/>
      <c r="B20" s="180"/>
      <c r="C20" s="211"/>
      <c r="D20" s="211"/>
      <c r="E20" s="211"/>
      <c r="F20" s="211"/>
      <c r="G20" s="211"/>
      <c r="H20" s="211"/>
      <c r="I20" s="211"/>
      <c r="J20" s="211"/>
      <c r="K20" s="211"/>
      <c r="L20" s="211"/>
      <c r="M20" s="211"/>
      <c r="N20" s="211"/>
      <c r="O20" s="211"/>
      <c r="P20" s="211"/>
      <c r="Q20" s="211"/>
      <c r="R20" s="211"/>
      <c r="S20" s="211"/>
      <c r="T20" s="211"/>
      <c r="U20" s="211"/>
      <c r="V20" s="211"/>
      <c r="W20" s="211"/>
      <c r="X20" s="211"/>
      <c r="Y20" s="200"/>
    </row>
  </sheetData>
  <mergeCells count="14">
    <mergeCell ref="B19:Y19"/>
    <mergeCell ref="B20:Y20"/>
    <mergeCell ref="AA1:AC2"/>
    <mergeCell ref="A3:A4"/>
    <mergeCell ref="B3:B4"/>
    <mergeCell ref="A9:AC9"/>
    <mergeCell ref="B10:Y10"/>
    <mergeCell ref="B11:Y11"/>
    <mergeCell ref="B13:Y13"/>
    <mergeCell ref="B14:Y14"/>
    <mergeCell ref="B15:Y15"/>
    <mergeCell ref="B16:Y16"/>
    <mergeCell ref="B17:Y17"/>
    <mergeCell ref="B18:Y18"/>
  </mergeCells>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6C6AC"/>
  </sheetPr>
  <dimension ref="A1:AC15"/>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69.75" customHeight="1">
      <c r="A1" s="76" t="s">
        <v>373</v>
      </c>
      <c r="B1" s="77" t="s">
        <v>428</v>
      </c>
      <c r="C1" s="80" t="s">
        <v>375</v>
      </c>
      <c r="D1" s="92"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100"/>
      <c r="D2" s="70" t="s">
        <v>762</v>
      </c>
      <c r="E2" s="71"/>
      <c r="F2" s="65"/>
      <c r="G2" s="65"/>
      <c r="H2" s="66"/>
      <c r="I2" s="65"/>
      <c r="J2" s="65"/>
      <c r="K2" s="70" t="s">
        <v>762</v>
      </c>
      <c r="L2" s="65"/>
      <c r="M2" s="65"/>
      <c r="N2" s="65"/>
      <c r="O2" s="65"/>
      <c r="P2" s="65"/>
      <c r="Q2" s="65"/>
      <c r="R2" s="65"/>
      <c r="S2" s="65"/>
      <c r="T2" s="65"/>
      <c r="U2" s="67"/>
      <c r="V2" s="65"/>
      <c r="W2" s="65"/>
      <c r="X2" s="65"/>
      <c r="Y2" s="65"/>
      <c r="AA2" s="207"/>
      <c r="AB2" s="208"/>
      <c r="AC2" s="209"/>
    </row>
    <row r="3" spans="1:29" ht="51">
      <c r="A3" s="68" t="s">
        <v>402</v>
      </c>
      <c r="B3" s="69" t="s">
        <v>403</v>
      </c>
      <c r="C3" s="43"/>
      <c r="D3" s="70" t="s">
        <v>763</v>
      </c>
      <c r="E3" s="129"/>
      <c r="F3" s="65"/>
      <c r="G3" s="73"/>
      <c r="H3" s="72"/>
      <c r="I3" s="71"/>
      <c r="J3" s="65"/>
      <c r="K3" s="70" t="s">
        <v>762</v>
      </c>
      <c r="L3" s="65"/>
      <c r="M3" s="65"/>
      <c r="N3" s="65"/>
      <c r="O3" s="65"/>
      <c r="P3" s="65"/>
      <c r="Q3" s="65"/>
      <c r="R3" s="65"/>
      <c r="S3" s="65"/>
      <c r="T3" s="65"/>
      <c r="U3" s="67"/>
      <c r="V3" s="65"/>
      <c r="W3" s="65"/>
      <c r="X3" s="65"/>
      <c r="Y3" s="65"/>
    </row>
    <row r="4" spans="1:29" ht="63.75">
      <c r="A4" s="68" t="s">
        <v>406</v>
      </c>
      <c r="B4" s="63" t="s">
        <v>407</v>
      </c>
      <c r="C4" s="87"/>
      <c r="D4" s="64"/>
      <c r="E4" s="66"/>
      <c r="F4" s="66"/>
      <c r="G4" s="100"/>
      <c r="H4" s="102"/>
      <c r="I4" s="74"/>
      <c r="J4" s="66"/>
      <c r="K4" s="103"/>
      <c r="L4" s="103"/>
      <c r="M4" s="65"/>
      <c r="N4" s="65"/>
      <c r="O4" s="65"/>
      <c r="P4" s="65"/>
      <c r="Q4" s="65"/>
      <c r="R4" s="65"/>
      <c r="S4" s="65"/>
      <c r="T4" s="65"/>
      <c r="U4" s="67"/>
      <c r="V4" s="65"/>
      <c r="W4" s="65"/>
      <c r="X4" s="65"/>
      <c r="Y4" s="65"/>
    </row>
    <row r="5" spans="1:29" ht="51">
      <c r="A5" s="68" t="s">
        <v>410</v>
      </c>
      <c r="B5" s="63" t="s">
        <v>411</v>
      </c>
      <c r="C5" s="73"/>
      <c r="D5" s="79"/>
      <c r="E5" s="75"/>
      <c r="F5" s="75"/>
      <c r="G5" s="75"/>
      <c r="H5" s="75"/>
      <c r="I5" s="75"/>
      <c r="J5" s="43" t="s">
        <v>764</v>
      </c>
      <c r="K5" s="70" t="s">
        <v>764</v>
      </c>
      <c r="L5" s="82" t="s">
        <v>765</v>
      </c>
      <c r="M5" s="70"/>
      <c r="N5" s="75"/>
      <c r="O5" s="71"/>
      <c r="P5" s="65"/>
      <c r="Q5" s="65"/>
      <c r="R5" s="65"/>
      <c r="S5" s="65"/>
      <c r="T5" s="65"/>
      <c r="U5" s="67"/>
      <c r="V5" s="65"/>
      <c r="W5" s="65"/>
      <c r="X5" s="65"/>
      <c r="Y5" s="65"/>
    </row>
    <row r="6" spans="1:29" ht="51">
      <c r="A6" s="88" t="s">
        <v>412</v>
      </c>
      <c r="B6" s="96" t="s">
        <v>431</v>
      </c>
      <c r="C6" s="73"/>
      <c r="D6" s="82" t="s">
        <v>766</v>
      </c>
      <c r="E6" s="75"/>
      <c r="F6" s="75"/>
      <c r="G6" s="75"/>
      <c r="H6" s="72"/>
      <c r="I6" s="75"/>
      <c r="J6" s="75"/>
      <c r="K6" s="82" t="s">
        <v>766</v>
      </c>
      <c r="L6" s="75"/>
      <c r="M6" s="78"/>
      <c r="N6" s="87"/>
      <c r="O6" s="65"/>
      <c r="P6" s="65"/>
      <c r="Q6" s="65"/>
      <c r="R6" s="65"/>
      <c r="S6" s="65"/>
      <c r="T6" s="65"/>
      <c r="U6" s="67"/>
      <c r="V6" s="65"/>
      <c r="W6" s="65"/>
      <c r="X6" s="65"/>
      <c r="Y6" s="65"/>
    </row>
    <row r="7" spans="1:29" ht="51">
      <c r="A7" s="68" t="s">
        <v>422</v>
      </c>
      <c r="B7" s="63" t="s">
        <v>423</v>
      </c>
      <c r="C7" s="65"/>
      <c r="D7" s="87"/>
      <c r="E7" s="87"/>
      <c r="F7" s="87"/>
      <c r="G7" s="97"/>
      <c r="H7" s="105"/>
      <c r="I7" s="78"/>
      <c r="J7" s="87"/>
      <c r="K7" s="87"/>
      <c r="L7" s="87"/>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767</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4"/>
      <c r="C11" s="108"/>
      <c r="D11" s="108"/>
      <c r="E11" s="108"/>
      <c r="F11" s="108"/>
      <c r="G11" s="108"/>
      <c r="H11" s="108"/>
      <c r="I11" s="108"/>
      <c r="J11" s="108"/>
      <c r="K11" s="108"/>
      <c r="L11" s="108"/>
      <c r="M11" s="108"/>
      <c r="N11" s="108"/>
      <c r="O11" s="108"/>
      <c r="P11" s="108"/>
      <c r="Q11" s="108"/>
      <c r="R11" s="108"/>
      <c r="S11" s="108"/>
      <c r="T11" s="108"/>
      <c r="U11" s="108"/>
      <c r="V11" s="108"/>
      <c r="W11" s="108"/>
      <c r="X11" s="108"/>
      <c r="Y11" s="109"/>
    </row>
    <row r="12" spans="1:29">
      <c r="A12" s="2" t="s">
        <v>768</v>
      </c>
      <c r="B12" s="180" t="s">
        <v>769</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t="s">
        <v>770</v>
      </c>
      <c r="B13" s="181" t="s">
        <v>771</v>
      </c>
      <c r="C13" s="208"/>
      <c r="D13" s="208"/>
      <c r="E13" s="208"/>
      <c r="F13" s="208"/>
      <c r="G13" s="208"/>
      <c r="H13" s="208"/>
      <c r="I13" s="208"/>
      <c r="J13" s="208"/>
      <c r="K13" s="208"/>
      <c r="L13" s="208"/>
      <c r="M13" s="208"/>
      <c r="N13" s="208"/>
      <c r="O13" s="208"/>
      <c r="P13" s="208"/>
      <c r="Q13" s="208"/>
      <c r="R13" s="208"/>
      <c r="S13" s="208"/>
      <c r="T13" s="208"/>
      <c r="U13" s="208"/>
      <c r="V13" s="208"/>
      <c r="W13" s="208"/>
      <c r="X13" s="208"/>
      <c r="Y13" s="209"/>
    </row>
    <row r="14" spans="1:29">
      <c r="A14" s="2" t="s">
        <v>772</v>
      </c>
      <c r="B14" s="180" t="s">
        <v>773</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c r="B15" s="180"/>
      <c r="C15" s="211"/>
      <c r="D15" s="211"/>
      <c r="E15" s="211"/>
      <c r="F15" s="211"/>
      <c r="G15" s="211"/>
      <c r="H15" s="211"/>
      <c r="I15" s="211"/>
      <c r="J15" s="211"/>
      <c r="K15" s="211"/>
      <c r="L15" s="211"/>
      <c r="M15" s="211"/>
      <c r="N15" s="211"/>
      <c r="O15" s="211"/>
      <c r="P15" s="211"/>
      <c r="Q15" s="211"/>
      <c r="R15" s="211"/>
      <c r="S15" s="211"/>
      <c r="T15" s="211"/>
      <c r="U15" s="211"/>
      <c r="V15" s="211"/>
      <c r="W15" s="211"/>
      <c r="X15" s="211"/>
      <c r="Y15" s="200"/>
    </row>
  </sheetData>
  <mergeCells count="8">
    <mergeCell ref="B13:Y13"/>
    <mergeCell ref="B14:Y14"/>
    <mergeCell ref="B15:Y15"/>
    <mergeCell ref="AA1:AC2"/>
    <mergeCell ref="A8:AC8"/>
    <mergeCell ref="B9:Y9"/>
    <mergeCell ref="B10:Y10"/>
    <mergeCell ref="B12:Y12"/>
  </mergeCells>
  <pageMargins left="0.7" right="0.7" top="0.75" bottom="0.75" header="0" footer="0"/>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6C6AC"/>
  </sheetPr>
  <dimension ref="A1:AC14"/>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99.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t="s">
        <v>774</v>
      </c>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t="s">
        <v>774</v>
      </c>
      <c r="I3" s="65"/>
      <c r="J3" s="65" t="s">
        <v>775</v>
      </c>
      <c r="K3" s="65" t="s">
        <v>775</v>
      </c>
      <c r="L3" s="65" t="s">
        <v>775</v>
      </c>
      <c r="M3" s="65"/>
      <c r="N3" s="65"/>
      <c r="O3" s="65"/>
      <c r="P3" s="65"/>
      <c r="Q3" s="65"/>
      <c r="R3" s="65"/>
      <c r="S3" s="65"/>
      <c r="T3" s="65"/>
      <c r="U3" s="67"/>
      <c r="V3" s="65"/>
      <c r="W3" s="65"/>
      <c r="X3" s="65"/>
      <c r="Y3" s="65"/>
    </row>
    <row r="4" spans="1:29" ht="63.75">
      <c r="A4" s="68" t="s">
        <v>406</v>
      </c>
      <c r="B4" s="63" t="s">
        <v>407</v>
      </c>
      <c r="C4" s="65"/>
      <c r="D4" s="66"/>
      <c r="E4" s="65"/>
      <c r="F4" s="65"/>
      <c r="G4" s="65"/>
      <c r="H4" s="65" t="s">
        <v>774</v>
      </c>
      <c r="I4" s="65" t="s">
        <v>776</v>
      </c>
      <c r="J4" s="65"/>
      <c r="K4" s="79"/>
      <c r="L4" s="79"/>
      <c r="M4" s="65"/>
      <c r="N4" s="65"/>
      <c r="O4" s="65"/>
      <c r="P4" s="65"/>
      <c r="Q4" s="65"/>
      <c r="R4" s="65"/>
      <c r="S4" s="65"/>
      <c r="T4" s="65"/>
      <c r="U4" s="67"/>
      <c r="V4" s="65"/>
      <c r="W4" s="65"/>
      <c r="X4" s="65"/>
      <c r="Y4" s="65"/>
    </row>
    <row r="5" spans="1:29" ht="51">
      <c r="A5" s="68" t="s">
        <v>410</v>
      </c>
      <c r="B5" s="63" t="s">
        <v>411</v>
      </c>
      <c r="C5" s="73"/>
      <c r="D5" s="79"/>
      <c r="E5" s="71"/>
      <c r="F5" s="65"/>
      <c r="G5" s="65"/>
      <c r="H5" s="65"/>
      <c r="I5" s="65"/>
      <c r="J5" s="65"/>
      <c r="K5" s="65"/>
      <c r="L5" s="65"/>
      <c r="M5" s="65"/>
      <c r="N5" s="65"/>
      <c r="O5" s="65"/>
      <c r="P5" s="65"/>
      <c r="Q5" s="65"/>
      <c r="R5" s="65"/>
      <c r="S5" s="65"/>
      <c r="T5" s="65"/>
      <c r="U5" s="67"/>
      <c r="V5" s="65"/>
      <c r="W5" s="65"/>
      <c r="X5" s="65"/>
      <c r="Y5" s="65"/>
    </row>
    <row r="6" spans="1:29" ht="51">
      <c r="A6" s="88" t="s">
        <v>412</v>
      </c>
      <c r="B6" s="96" t="s">
        <v>431</v>
      </c>
      <c r="C6" s="65"/>
      <c r="D6" s="87"/>
      <c r="E6" s="65"/>
      <c r="F6" s="65"/>
      <c r="G6" s="65"/>
      <c r="H6" s="65"/>
      <c r="I6" s="65"/>
      <c r="J6" s="65"/>
      <c r="K6" s="65"/>
      <c r="L6" s="65"/>
      <c r="M6" s="65"/>
      <c r="N6" s="65"/>
      <c r="O6" s="65"/>
      <c r="P6" s="65"/>
      <c r="Q6" s="65"/>
      <c r="R6" s="65"/>
      <c r="S6" s="65"/>
      <c r="T6" s="65"/>
      <c r="U6" s="67"/>
      <c r="V6" s="65"/>
      <c r="W6" s="65"/>
      <c r="X6" s="65"/>
      <c r="Y6" s="65"/>
    </row>
    <row r="7" spans="1:29" ht="5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777</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4"/>
      <c r="C11" s="108"/>
      <c r="D11" s="108"/>
      <c r="E11" s="108"/>
      <c r="F11" s="108"/>
      <c r="G11" s="108"/>
      <c r="H11" s="108"/>
      <c r="I11" s="108"/>
      <c r="J11" s="108"/>
      <c r="K11" s="108"/>
      <c r="L11" s="108"/>
      <c r="M11" s="108"/>
      <c r="N11" s="108"/>
      <c r="O11" s="108"/>
      <c r="P11" s="108"/>
      <c r="Q11" s="108"/>
      <c r="R11" s="108"/>
      <c r="S11" s="108"/>
      <c r="T11" s="108"/>
      <c r="U11" s="108"/>
      <c r="V11" s="108"/>
      <c r="W11" s="108"/>
      <c r="X11" s="108"/>
      <c r="Y11" s="109"/>
    </row>
    <row r="12" spans="1:29">
      <c r="A12" s="2" t="s">
        <v>778</v>
      </c>
      <c r="B12" s="180" t="s">
        <v>779</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t="s">
        <v>780</v>
      </c>
      <c r="B13" s="181" t="s">
        <v>781</v>
      </c>
      <c r="C13" s="208"/>
      <c r="D13" s="208"/>
      <c r="E13" s="208"/>
      <c r="F13" s="208"/>
      <c r="G13" s="208"/>
      <c r="H13" s="208"/>
      <c r="I13" s="208"/>
      <c r="J13" s="208"/>
      <c r="K13" s="208"/>
      <c r="L13" s="208"/>
      <c r="M13" s="208"/>
      <c r="N13" s="208"/>
      <c r="O13" s="208"/>
      <c r="P13" s="208"/>
      <c r="Q13" s="208"/>
      <c r="R13" s="208"/>
      <c r="S13" s="208"/>
      <c r="T13" s="208"/>
      <c r="U13" s="208"/>
      <c r="V13" s="208"/>
      <c r="W13" s="208"/>
      <c r="X13" s="208"/>
      <c r="Y13" s="209"/>
    </row>
    <row r="14" spans="1:29">
      <c r="A14" s="2" t="s">
        <v>782</v>
      </c>
      <c r="B14" s="180" t="s">
        <v>783</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sheetData>
  <mergeCells count="7">
    <mergeCell ref="B14:Y14"/>
    <mergeCell ref="A8:AC8"/>
    <mergeCell ref="AA1:AC2"/>
    <mergeCell ref="B9:Y9"/>
    <mergeCell ref="B10:Y10"/>
    <mergeCell ref="B12:Y12"/>
    <mergeCell ref="B13:Y13"/>
  </mergeCells>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6C6AC"/>
  </sheetPr>
  <dimension ref="A1:AC15"/>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8.75" customHeight="1">
      <c r="A1" s="76" t="s">
        <v>373</v>
      </c>
      <c r="B1" s="77" t="s">
        <v>428</v>
      </c>
      <c r="C1" s="80" t="s">
        <v>375</v>
      </c>
      <c r="D1" s="55" t="s">
        <v>376</v>
      </c>
      <c r="E1" s="92"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73"/>
      <c r="E2" s="122" t="s">
        <v>784</v>
      </c>
      <c r="F2" s="75"/>
      <c r="G2" s="75"/>
      <c r="H2" s="75"/>
      <c r="I2" s="75"/>
      <c r="J2" s="74"/>
      <c r="K2" s="66"/>
      <c r="L2" s="66"/>
      <c r="M2" s="66"/>
      <c r="N2" s="66"/>
      <c r="O2" s="66"/>
      <c r="P2" s="66"/>
      <c r="Q2" s="65"/>
      <c r="R2" s="65"/>
      <c r="S2" s="65"/>
      <c r="T2" s="65"/>
      <c r="U2" s="67"/>
      <c r="V2" s="65"/>
      <c r="W2" s="65"/>
      <c r="X2" s="65"/>
      <c r="Y2" s="65"/>
      <c r="AA2" s="207"/>
      <c r="AB2" s="208"/>
      <c r="AC2" s="209"/>
    </row>
    <row r="3" spans="1:29">
      <c r="A3" s="189" t="s">
        <v>402</v>
      </c>
      <c r="B3" s="190" t="s">
        <v>403</v>
      </c>
      <c r="C3" s="65"/>
      <c r="D3" s="73"/>
      <c r="E3" s="72"/>
      <c r="F3" s="126"/>
      <c r="G3" s="126"/>
      <c r="H3" s="126"/>
      <c r="I3" s="126"/>
      <c r="J3" s="126"/>
      <c r="K3" s="126"/>
      <c r="L3" s="126"/>
      <c r="M3" s="126"/>
      <c r="N3" s="126"/>
      <c r="O3" s="126"/>
      <c r="P3" s="130"/>
      <c r="Q3" s="71"/>
      <c r="R3" s="65"/>
      <c r="S3" s="65"/>
      <c r="T3" s="65"/>
      <c r="U3" s="67"/>
      <c r="V3" s="65"/>
      <c r="W3" s="65"/>
      <c r="X3" s="65"/>
      <c r="Y3" s="65"/>
    </row>
    <row r="4" spans="1:29">
      <c r="A4" s="210"/>
      <c r="B4" s="212"/>
      <c r="C4" s="65"/>
      <c r="D4" s="73"/>
      <c r="E4" s="72" t="s">
        <v>784</v>
      </c>
      <c r="F4" s="131"/>
      <c r="G4" s="75"/>
      <c r="H4" s="75"/>
      <c r="I4" s="75"/>
      <c r="J4" s="75"/>
      <c r="K4" s="75"/>
      <c r="L4" s="75"/>
      <c r="M4" s="75"/>
      <c r="N4" s="75"/>
      <c r="O4" s="75"/>
      <c r="P4" s="127"/>
      <c r="Q4" s="71"/>
      <c r="R4" s="65"/>
      <c r="S4" s="65"/>
      <c r="T4" s="65"/>
      <c r="U4" s="67"/>
      <c r="V4" s="65"/>
      <c r="W4" s="65"/>
      <c r="X4" s="65"/>
      <c r="Y4" s="65"/>
    </row>
    <row r="5" spans="1:29" ht="63.75">
      <c r="A5" s="68" t="s">
        <v>406</v>
      </c>
      <c r="B5" s="63" t="s">
        <v>407</v>
      </c>
      <c r="C5" s="65"/>
      <c r="D5" s="100"/>
      <c r="E5" s="122" t="s">
        <v>785</v>
      </c>
      <c r="F5" s="78"/>
      <c r="G5" s="87"/>
      <c r="H5" s="87"/>
      <c r="I5" s="87"/>
      <c r="J5" s="87"/>
      <c r="K5" s="110"/>
      <c r="L5" s="110"/>
      <c r="M5" s="87"/>
      <c r="N5" s="87"/>
      <c r="O5" s="132"/>
      <c r="P5" s="87"/>
      <c r="Q5" s="65"/>
      <c r="R5" s="65"/>
      <c r="S5" s="65"/>
      <c r="T5" s="65"/>
      <c r="U5" s="67"/>
      <c r="V5" s="65"/>
      <c r="W5" s="65"/>
      <c r="X5" s="65"/>
      <c r="Y5" s="65"/>
    </row>
    <row r="6" spans="1:29" ht="51">
      <c r="A6" s="68" t="s">
        <v>410</v>
      </c>
      <c r="B6" s="63" t="s">
        <v>411</v>
      </c>
      <c r="C6" s="73"/>
      <c r="D6" s="94"/>
      <c r="E6" s="122"/>
      <c r="F6" s="71"/>
      <c r="G6" s="65"/>
      <c r="H6" s="65"/>
      <c r="I6" s="65"/>
      <c r="J6" s="65"/>
      <c r="K6" s="65"/>
      <c r="L6" s="65"/>
      <c r="M6" s="65"/>
      <c r="N6" s="116"/>
      <c r="O6" s="65"/>
      <c r="P6" s="65"/>
      <c r="Q6" s="65"/>
      <c r="R6" s="65"/>
      <c r="S6" s="65"/>
      <c r="T6" s="65"/>
      <c r="U6" s="67"/>
      <c r="V6" s="65"/>
      <c r="W6" s="65"/>
      <c r="X6" s="65"/>
      <c r="Y6" s="65"/>
    </row>
    <row r="7" spans="1:29" ht="51">
      <c r="A7" s="88" t="s">
        <v>412</v>
      </c>
      <c r="B7" s="96" t="s">
        <v>431</v>
      </c>
      <c r="C7" s="65"/>
      <c r="D7" s="97"/>
      <c r="E7" s="72"/>
      <c r="F7" s="71"/>
      <c r="G7" s="65"/>
      <c r="H7" s="65"/>
      <c r="I7" s="65"/>
      <c r="J7" s="65"/>
      <c r="K7" s="65"/>
      <c r="L7" s="65"/>
      <c r="M7" s="65"/>
      <c r="N7" s="65"/>
      <c r="O7" s="65"/>
      <c r="P7" s="133"/>
      <c r="Q7" s="65"/>
      <c r="R7" s="65"/>
      <c r="S7" s="65"/>
      <c r="T7" s="65"/>
      <c r="U7" s="67"/>
      <c r="V7" s="65"/>
      <c r="W7" s="65"/>
      <c r="X7" s="65"/>
      <c r="Y7" s="65"/>
    </row>
    <row r="8" spans="1:29" ht="51">
      <c r="A8" s="68" t="s">
        <v>422</v>
      </c>
      <c r="B8" s="63" t="s">
        <v>423</v>
      </c>
      <c r="C8" s="65"/>
      <c r="D8" s="65"/>
      <c r="E8" s="87"/>
      <c r="F8" s="65"/>
      <c r="G8" s="65"/>
      <c r="H8" s="65"/>
      <c r="I8" s="65"/>
      <c r="J8" s="65"/>
      <c r="K8" s="65"/>
      <c r="L8" s="65"/>
      <c r="M8" s="65"/>
      <c r="N8" s="65"/>
      <c r="O8" s="65"/>
      <c r="P8" s="65"/>
      <c r="Q8" s="65"/>
      <c r="R8" s="65"/>
      <c r="S8" s="65"/>
      <c r="T8" s="65"/>
      <c r="U8" s="67"/>
      <c r="V8" s="65"/>
      <c r="W8" s="65"/>
      <c r="X8" s="65"/>
      <c r="Y8" s="65"/>
    </row>
    <row r="9" spans="1:29" ht="24" customHeight="1">
      <c r="A9" s="188"/>
      <c r="B9" s="204"/>
      <c r="C9" s="204"/>
      <c r="D9" s="204"/>
      <c r="E9" s="204"/>
      <c r="F9" s="204"/>
      <c r="G9" s="204"/>
      <c r="H9" s="204"/>
      <c r="I9" s="204"/>
      <c r="J9" s="204"/>
      <c r="K9" s="204"/>
      <c r="L9" s="204"/>
      <c r="M9" s="204"/>
      <c r="N9" s="204"/>
      <c r="O9" s="204"/>
      <c r="P9" s="204"/>
      <c r="Q9" s="204"/>
      <c r="R9" s="204"/>
      <c r="S9" s="204"/>
      <c r="T9" s="204"/>
      <c r="U9" s="204"/>
      <c r="V9" s="204"/>
      <c r="W9" s="204"/>
      <c r="X9" s="204"/>
      <c r="Y9" s="204"/>
      <c r="Z9" s="204"/>
      <c r="AA9" s="204"/>
      <c r="AB9" s="204"/>
      <c r="AC9" s="204"/>
    </row>
    <row r="10" spans="1:29">
      <c r="A10" s="2" t="s">
        <v>424</v>
      </c>
      <c r="B10" s="180" t="s">
        <v>786</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c r="A11" s="2" t="s">
        <v>461</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29" ht="28.5">
      <c r="A12" s="2" t="s">
        <v>462</v>
      </c>
      <c r="B12" s="180" t="s">
        <v>787</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ht="14.25" customHeight="1">
      <c r="A13" s="2" t="s">
        <v>788</v>
      </c>
      <c r="B13" s="180" t="s">
        <v>789</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ht="15" customHeight="1">
      <c r="A14" s="2" t="s">
        <v>790</v>
      </c>
      <c r="B14" s="180" t="s">
        <v>791</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row r="15" spans="1:29">
      <c r="A15" s="2"/>
      <c r="B15" s="181"/>
      <c r="C15" s="208"/>
      <c r="D15" s="208"/>
      <c r="E15" s="208"/>
      <c r="F15" s="208"/>
      <c r="G15" s="208"/>
      <c r="H15" s="208"/>
      <c r="I15" s="208"/>
      <c r="J15" s="208"/>
      <c r="K15" s="208"/>
      <c r="L15" s="208"/>
      <c r="M15" s="208"/>
      <c r="N15" s="208"/>
      <c r="O15" s="208"/>
      <c r="P15" s="208"/>
      <c r="Q15" s="208"/>
      <c r="R15" s="208"/>
      <c r="S15" s="208"/>
      <c r="T15" s="208"/>
      <c r="U15" s="208"/>
      <c r="V15" s="208"/>
      <c r="W15" s="208"/>
      <c r="X15" s="208"/>
      <c r="Y15" s="209"/>
    </row>
  </sheetData>
  <mergeCells count="10">
    <mergeCell ref="B13:Y13"/>
    <mergeCell ref="B14:Y14"/>
    <mergeCell ref="B15:Y15"/>
    <mergeCell ref="AA1:AC2"/>
    <mergeCell ref="A3:A4"/>
    <mergeCell ref="B3:B4"/>
    <mergeCell ref="B10:Y10"/>
    <mergeCell ref="B11:Y11"/>
    <mergeCell ref="B12:Y12"/>
    <mergeCell ref="A9:AC9"/>
  </mergeCells>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6C6AC"/>
  </sheetPr>
  <dimension ref="A1:AC14"/>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69.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c r="I3" s="65"/>
      <c r="J3" s="65"/>
      <c r="K3" s="65"/>
      <c r="L3" s="65"/>
      <c r="M3" s="65"/>
      <c r="N3" s="65"/>
      <c r="O3" s="65"/>
      <c r="P3" s="65"/>
      <c r="Q3" s="65"/>
      <c r="R3" s="65"/>
      <c r="S3" s="65"/>
      <c r="T3" s="65"/>
      <c r="U3" s="67"/>
      <c r="V3" s="65"/>
      <c r="W3" s="65"/>
      <c r="X3" s="65"/>
      <c r="Y3" s="65"/>
    </row>
    <row r="4" spans="1:29" ht="63.75">
      <c r="A4" s="68" t="s">
        <v>406</v>
      </c>
      <c r="B4" s="63" t="s">
        <v>407</v>
      </c>
      <c r="C4" s="65"/>
      <c r="D4" s="66"/>
      <c r="E4" s="65"/>
      <c r="F4" s="65"/>
      <c r="G4" s="65"/>
      <c r="H4" s="65"/>
      <c r="I4" s="65"/>
      <c r="J4" s="65"/>
      <c r="K4" s="134"/>
      <c r="L4" s="134"/>
      <c r="M4" s="65"/>
      <c r="N4" s="65"/>
      <c r="O4" s="65"/>
      <c r="P4" s="65"/>
      <c r="Q4" s="65"/>
      <c r="R4" s="65"/>
      <c r="S4" s="65"/>
      <c r="T4" s="65"/>
      <c r="U4" s="67"/>
      <c r="V4" s="65"/>
      <c r="W4" s="65"/>
      <c r="X4" s="65"/>
      <c r="Y4" s="65"/>
    </row>
    <row r="5" spans="1:29" ht="51">
      <c r="A5" s="68" t="s">
        <v>410</v>
      </c>
      <c r="B5" s="63" t="s">
        <v>411</v>
      </c>
      <c r="C5" s="73"/>
      <c r="D5" s="134"/>
      <c r="E5" s="135"/>
      <c r="F5" s="134"/>
      <c r="G5" s="65"/>
      <c r="H5" s="65"/>
      <c r="I5" s="65"/>
      <c r="J5" s="65"/>
      <c r="K5" s="65"/>
      <c r="L5" s="65"/>
      <c r="M5" s="65"/>
      <c r="N5" s="65"/>
      <c r="O5" s="65"/>
      <c r="P5" s="65"/>
      <c r="Q5" s="65"/>
      <c r="R5" s="65"/>
      <c r="S5" s="65"/>
      <c r="T5" s="65"/>
      <c r="U5" s="67"/>
      <c r="V5" s="65"/>
      <c r="W5" s="65"/>
      <c r="X5" s="65"/>
      <c r="Y5" s="65"/>
    </row>
    <row r="6" spans="1:29" ht="51">
      <c r="A6" s="88" t="s">
        <v>412</v>
      </c>
      <c r="B6" s="96" t="s">
        <v>431</v>
      </c>
      <c r="C6" s="65"/>
      <c r="D6" s="87"/>
      <c r="E6" s="65"/>
      <c r="F6" s="65"/>
      <c r="G6" s="65"/>
      <c r="H6" s="65"/>
      <c r="I6" s="65"/>
      <c r="J6" s="65"/>
      <c r="K6" s="65"/>
      <c r="L6" s="65"/>
      <c r="M6" s="65"/>
      <c r="N6" s="65"/>
      <c r="O6" s="65"/>
      <c r="P6" s="65"/>
      <c r="Q6" s="65"/>
      <c r="R6" s="65"/>
      <c r="S6" s="65"/>
      <c r="T6" s="65"/>
      <c r="U6" s="67"/>
      <c r="V6" s="65"/>
      <c r="W6" s="65"/>
      <c r="X6" s="65"/>
      <c r="Y6" s="65"/>
    </row>
    <row r="7" spans="1:29" ht="5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ht="15" customHeight="1">
      <c r="A9" s="2" t="s">
        <v>424</v>
      </c>
      <c r="B9" s="180" t="s">
        <v>792</v>
      </c>
      <c r="C9" s="211"/>
      <c r="D9" s="211"/>
      <c r="E9" s="211"/>
      <c r="F9" s="211"/>
      <c r="G9" s="211"/>
      <c r="H9" s="211"/>
      <c r="I9" s="211"/>
      <c r="J9" s="211"/>
      <c r="K9" s="211"/>
      <c r="L9" s="211"/>
      <c r="M9" s="211"/>
      <c r="N9" s="211"/>
      <c r="O9" s="211"/>
      <c r="P9" s="211"/>
      <c r="Q9" s="211"/>
      <c r="R9" s="211"/>
      <c r="S9" s="211"/>
      <c r="T9" s="211"/>
      <c r="U9" s="211"/>
      <c r="V9" s="211"/>
      <c r="W9" s="211"/>
      <c r="X9" s="211"/>
      <c r="Y9" s="200"/>
    </row>
    <row r="10" spans="1:29" ht="15" customHeight="1">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c r="B12" s="180"/>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124"/>
      <c r="B13" s="180"/>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124"/>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sheetData>
  <mergeCells count="8">
    <mergeCell ref="B12:Y12"/>
    <mergeCell ref="B13:Y13"/>
    <mergeCell ref="B14:Y14"/>
    <mergeCell ref="AA1:AC2"/>
    <mergeCell ref="A8:AC8"/>
    <mergeCell ref="B9:Y9"/>
    <mergeCell ref="B10:Y10"/>
    <mergeCell ref="B11:Y11"/>
  </mergeCells>
  <pageMargins left="0.7" right="0.7" top="0.75" bottom="0.75" header="0" footer="0"/>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6C6AC"/>
  </sheetPr>
  <dimension ref="A1:AC13"/>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69.7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6"/>
      <c r="D2" s="66"/>
      <c r="E2" s="66"/>
      <c r="F2" s="66"/>
      <c r="G2" s="65"/>
      <c r="H2" s="66"/>
      <c r="I2" s="66"/>
      <c r="J2" s="65"/>
      <c r="K2" s="65"/>
      <c r="L2" s="65"/>
      <c r="M2" s="65"/>
      <c r="N2" s="65"/>
      <c r="O2" s="65"/>
      <c r="P2" s="65"/>
      <c r="Q2" s="65"/>
      <c r="R2" s="65"/>
      <c r="S2" s="65"/>
      <c r="T2" s="65"/>
      <c r="U2" s="67"/>
      <c r="V2" s="65"/>
      <c r="W2" s="65"/>
      <c r="X2" s="65"/>
      <c r="Y2" s="65"/>
      <c r="AA2" s="207"/>
      <c r="AB2" s="208"/>
      <c r="AC2" s="209"/>
    </row>
    <row r="3" spans="1:29" ht="51">
      <c r="A3" s="68" t="s">
        <v>402</v>
      </c>
      <c r="B3" s="69" t="s">
        <v>403</v>
      </c>
      <c r="C3" s="72"/>
      <c r="D3" s="75"/>
      <c r="E3" s="72"/>
      <c r="F3" s="72" t="s">
        <v>793</v>
      </c>
      <c r="G3" s="104"/>
      <c r="H3" s="43"/>
      <c r="I3" s="72" t="s">
        <v>794</v>
      </c>
      <c r="J3" s="71"/>
      <c r="K3" s="65"/>
      <c r="L3" s="72" t="s">
        <v>794</v>
      </c>
      <c r="M3" s="65"/>
      <c r="N3" s="65"/>
      <c r="O3" s="65"/>
      <c r="P3" s="65"/>
      <c r="Q3" s="65"/>
      <c r="R3" s="65"/>
      <c r="S3" s="65"/>
      <c r="T3" s="65"/>
      <c r="U3" s="67"/>
      <c r="V3" s="65"/>
      <c r="W3" s="65"/>
      <c r="X3" s="65"/>
      <c r="Y3" s="65"/>
    </row>
    <row r="4" spans="1:29" ht="63.75">
      <c r="A4" s="68" t="s">
        <v>406</v>
      </c>
      <c r="B4" s="63" t="s">
        <v>407</v>
      </c>
      <c r="C4" s="87"/>
      <c r="D4" s="64"/>
      <c r="E4" s="64"/>
      <c r="F4" s="64"/>
      <c r="G4" s="100"/>
      <c r="H4" s="102"/>
      <c r="I4" s="72" t="s">
        <v>794</v>
      </c>
      <c r="J4" s="66"/>
      <c r="K4" s="87"/>
      <c r="L4" s="72" t="s">
        <v>794</v>
      </c>
      <c r="M4" s="87"/>
      <c r="N4" s="87"/>
      <c r="O4" s="65"/>
      <c r="P4" s="65"/>
      <c r="Q4" s="65"/>
      <c r="R4" s="65"/>
      <c r="S4" s="65"/>
      <c r="T4" s="65"/>
      <c r="U4" s="67"/>
      <c r="V4" s="65"/>
      <c r="W4" s="65"/>
      <c r="X4" s="65"/>
      <c r="Y4" s="65"/>
    </row>
    <row r="5" spans="1:29" ht="51">
      <c r="A5" s="68" t="s">
        <v>410</v>
      </c>
      <c r="B5" s="63" t="s">
        <v>411</v>
      </c>
      <c r="C5" s="73"/>
      <c r="D5" s="79"/>
      <c r="E5" s="75"/>
      <c r="F5" s="75"/>
      <c r="G5" s="75"/>
      <c r="H5" s="75"/>
      <c r="I5" s="72" t="s">
        <v>794</v>
      </c>
      <c r="J5" s="75"/>
      <c r="K5" s="87"/>
      <c r="L5" s="72" t="s">
        <v>794</v>
      </c>
      <c r="M5" s="71"/>
      <c r="N5" s="65"/>
      <c r="O5" s="65"/>
      <c r="P5" s="65"/>
      <c r="Q5" s="65"/>
      <c r="R5" s="65"/>
      <c r="S5" s="65"/>
      <c r="T5" s="65"/>
      <c r="U5" s="67"/>
      <c r="V5" s="65"/>
      <c r="W5" s="65"/>
      <c r="X5" s="65"/>
      <c r="Y5" s="65"/>
    </row>
    <row r="6" spans="1:29" ht="51">
      <c r="A6" s="88" t="s">
        <v>412</v>
      </c>
      <c r="B6" s="89" t="s">
        <v>431</v>
      </c>
      <c r="C6" s="104"/>
      <c r="D6" s="72"/>
      <c r="E6" s="75"/>
      <c r="F6" s="75"/>
      <c r="G6" s="75"/>
      <c r="H6" s="72"/>
      <c r="I6" s="75"/>
      <c r="J6" s="75"/>
      <c r="K6" s="75"/>
      <c r="L6" s="75"/>
      <c r="M6" s="71"/>
      <c r="N6" s="65"/>
      <c r="O6" s="65"/>
      <c r="P6" s="65"/>
      <c r="Q6" s="65"/>
      <c r="R6" s="65"/>
      <c r="S6" s="65"/>
      <c r="T6" s="65"/>
      <c r="U6" s="67"/>
      <c r="V6" s="65"/>
      <c r="W6" s="65"/>
      <c r="X6" s="65"/>
      <c r="Y6" s="65"/>
    </row>
    <row r="7" spans="1:29" ht="51">
      <c r="A7" s="68" t="s">
        <v>422</v>
      </c>
      <c r="B7" s="90" t="s">
        <v>423</v>
      </c>
      <c r="C7" s="65"/>
      <c r="D7" s="87"/>
      <c r="E7" s="87"/>
      <c r="F7" s="87"/>
      <c r="G7" s="97"/>
      <c r="H7" s="105"/>
      <c r="I7" s="78"/>
      <c r="J7" s="87"/>
      <c r="K7" s="87"/>
      <c r="L7" s="87"/>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c r="A9" s="2" t="s">
        <v>424</v>
      </c>
      <c r="B9" s="180" t="s">
        <v>230</v>
      </c>
      <c r="C9" s="211"/>
      <c r="D9" s="211"/>
      <c r="E9" s="211"/>
      <c r="F9" s="211"/>
      <c r="G9" s="211"/>
      <c r="H9" s="211"/>
      <c r="I9" s="211"/>
      <c r="J9" s="211"/>
      <c r="K9" s="211"/>
      <c r="L9" s="211"/>
      <c r="M9" s="211"/>
      <c r="N9" s="211"/>
      <c r="O9" s="211"/>
      <c r="P9" s="211"/>
      <c r="Q9" s="211"/>
      <c r="R9" s="211"/>
      <c r="S9" s="211"/>
      <c r="T9" s="211"/>
      <c r="U9" s="211"/>
      <c r="V9" s="211"/>
      <c r="W9" s="211"/>
      <c r="X9" s="211"/>
      <c r="Y9" s="200"/>
    </row>
    <row r="10" spans="1:29">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t="s">
        <v>795</v>
      </c>
      <c r="B12" s="180" t="s">
        <v>796</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2" t="s">
        <v>797</v>
      </c>
      <c r="B13" s="181" t="s">
        <v>798</v>
      </c>
      <c r="C13" s="208"/>
      <c r="D13" s="208"/>
      <c r="E13" s="208"/>
      <c r="F13" s="208"/>
      <c r="G13" s="208"/>
      <c r="H13" s="208"/>
      <c r="I13" s="208"/>
      <c r="J13" s="208"/>
      <c r="K13" s="208"/>
      <c r="L13" s="208"/>
      <c r="M13" s="208"/>
      <c r="N13" s="208"/>
      <c r="O13" s="208"/>
      <c r="P13" s="208"/>
      <c r="Q13" s="208"/>
      <c r="R13" s="208"/>
      <c r="S13" s="208"/>
      <c r="T13" s="208"/>
      <c r="U13" s="208"/>
      <c r="V13" s="208"/>
      <c r="W13" s="208"/>
      <c r="X13" s="208"/>
      <c r="Y13" s="209"/>
    </row>
  </sheetData>
  <mergeCells count="7">
    <mergeCell ref="B12:Y12"/>
    <mergeCell ref="B13:Y13"/>
    <mergeCell ref="AA1:AC2"/>
    <mergeCell ref="A8:AC8"/>
    <mergeCell ref="B9:Y9"/>
    <mergeCell ref="B10:Y10"/>
    <mergeCell ref="B11:Y11"/>
  </mergeCells>
  <pageMargins left="0.7" right="0.7" top="0.75" bottom="0.75" header="0" footer="0"/>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F6C6AC"/>
  </sheetPr>
  <dimension ref="A1:AC14"/>
  <sheetViews>
    <sheetView workbookViewId="0"/>
  </sheetViews>
  <sheetFormatPr defaultColWidth="12.5703125" defaultRowHeight="15" customHeight="1"/>
  <cols>
    <col min="1" max="1" width="19.28515625" customWidth="1"/>
    <col min="2" max="25" width="19.7109375" customWidth="1"/>
    <col min="26" max="29" width="8.85546875" customWidth="1"/>
  </cols>
  <sheetData>
    <row r="1" spans="1:29" ht="103.5"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29" ht="76.5">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29" ht="51">
      <c r="A3" s="68" t="s">
        <v>402</v>
      </c>
      <c r="B3" s="63" t="s">
        <v>403</v>
      </c>
      <c r="C3" s="65"/>
      <c r="D3" s="65"/>
      <c r="E3" s="65"/>
      <c r="F3" s="65"/>
      <c r="G3" s="65"/>
      <c r="H3" s="65" t="s">
        <v>799</v>
      </c>
      <c r="I3" s="65"/>
      <c r="J3" s="65"/>
      <c r="K3" s="65"/>
      <c r="L3" s="65"/>
      <c r="M3" s="65"/>
      <c r="N3" s="65"/>
      <c r="O3" s="65" t="s">
        <v>799</v>
      </c>
      <c r="P3" s="65"/>
      <c r="Q3" s="65"/>
      <c r="R3" s="65"/>
      <c r="S3" s="65"/>
      <c r="T3" s="65"/>
      <c r="U3" s="67"/>
      <c r="V3" s="65"/>
      <c r="W3" s="65"/>
      <c r="X3" s="65"/>
      <c r="Y3" s="65"/>
    </row>
    <row r="4" spans="1:29" ht="63.75">
      <c r="A4" s="68" t="s">
        <v>406</v>
      </c>
      <c r="B4" s="63" t="s">
        <v>407</v>
      </c>
      <c r="C4" s="65"/>
      <c r="D4" s="66"/>
      <c r="E4" s="65"/>
      <c r="F4" s="65"/>
      <c r="G4" s="65"/>
      <c r="H4" s="65" t="s">
        <v>799</v>
      </c>
      <c r="I4" s="65"/>
      <c r="J4" s="65"/>
      <c r="K4" s="79"/>
      <c r="L4" s="79"/>
      <c r="M4" s="65"/>
      <c r="N4" s="65"/>
      <c r="O4" s="65" t="s">
        <v>800</v>
      </c>
      <c r="P4" s="65"/>
      <c r="Q4" s="65"/>
      <c r="R4" s="65"/>
      <c r="S4" s="65"/>
      <c r="T4" s="65"/>
      <c r="U4" s="67"/>
      <c r="V4" s="65"/>
      <c r="W4" s="65"/>
      <c r="X4" s="65"/>
      <c r="Y4" s="65"/>
    </row>
    <row r="5" spans="1:29" ht="51">
      <c r="A5" s="68" t="s">
        <v>410</v>
      </c>
      <c r="B5" s="63" t="s">
        <v>411</v>
      </c>
      <c r="C5" s="73"/>
      <c r="D5" s="79"/>
      <c r="E5" s="71"/>
      <c r="F5" s="79"/>
      <c r="G5" s="65"/>
      <c r="H5" s="65"/>
      <c r="I5" s="65"/>
      <c r="J5" s="65"/>
      <c r="K5" s="65"/>
      <c r="L5" s="65"/>
      <c r="M5" s="65"/>
      <c r="N5" s="65"/>
      <c r="O5" s="65"/>
      <c r="P5" s="65"/>
      <c r="Q5" s="65"/>
      <c r="R5" s="65"/>
      <c r="S5" s="65"/>
      <c r="T5" s="65"/>
      <c r="U5" s="67"/>
      <c r="V5" s="65"/>
      <c r="W5" s="65"/>
      <c r="X5" s="65"/>
      <c r="Y5" s="65"/>
    </row>
    <row r="6" spans="1:29" ht="51">
      <c r="A6" s="88" t="s">
        <v>412</v>
      </c>
      <c r="B6" s="89" t="s">
        <v>431</v>
      </c>
      <c r="C6" s="71"/>
      <c r="D6" s="87"/>
      <c r="E6" s="65"/>
      <c r="F6" s="65"/>
      <c r="G6" s="65"/>
      <c r="H6" s="65"/>
      <c r="I6" s="65"/>
      <c r="J6" s="65"/>
      <c r="K6" s="65"/>
      <c r="L6" s="65"/>
      <c r="M6" s="65"/>
      <c r="N6" s="65"/>
      <c r="O6" s="65"/>
      <c r="P6" s="65"/>
      <c r="Q6" s="65"/>
      <c r="R6" s="65"/>
      <c r="S6" s="65"/>
      <c r="T6" s="65"/>
      <c r="U6" s="67"/>
      <c r="V6" s="65"/>
      <c r="W6" s="65"/>
      <c r="X6" s="65"/>
      <c r="Y6" s="65"/>
    </row>
    <row r="7" spans="1:29" ht="51">
      <c r="A7" s="68" t="s">
        <v>422</v>
      </c>
      <c r="B7" s="90" t="s">
        <v>423</v>
      </c>
      <c r="C7" s="65"/>
      <c r="D7" s="65"/>
      <c r="E7" s="65"/>
      <c r="F7" s="65"/>
      <c r="G7" s="65"/>
      <c r="H7" s="65"/>
      <c r="I7" s="65"/>
      <c r="J7" s="65"/>
      <c r="K7" s="65"/>
      <c r="L7" s="65"/>
      <c r="M7" s="65"/>
      <c r="N7" s="65"/>
      <c r="O7" s="65"/>
      <c r="P7" s="65"/>
      <c r="Q7" s="65"/>
      <c r="R7" s="65"/>
      <c r="S7" s="65"/>
      <c r="T7" s="65"/>
      <c r="U7" s="67"/>
      <c r="V7" s="65"/>
      <c r="W7" s="65"/>
      <c r="X7" s="65"/>
      <c r="Y7" s="65"/>
    </row>
    <row r="8" spans="1:29" ht="24"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row>
    <row r="9" spans="1:29" ht="15" customHeight="1">
      <c r="A9" s="2" t="s">
        <v>424</v>
      </c>
      <c r="B9" s="180"/>
      <c r="C9" s="211"/>
      <c r="D9" s="211"/>
      <c r="E9" s="211"/>
      <c r="F9" s="211"/>
      <c r="G9" s="211"/>
      <c r="H9" s="211"/>
      <c r="I9" s="211"/>
      <c r="J9" s="211"/>
      <c r="K9" s="211"/>
      <c r="L9" s="211"/>
      <c r="M9" s="211"/>
      <c r="N9" s="211"/>
      <c r="O9" s="211"/>
      <c r="P9" s="211"/>
      <c r="Q9" s="211"/>
      <c r="R9" s="211"/>
      <c r="S9" s="211"/>
      <c r="T9" s="211"/>
      <c r="U9" s="211"/>
      <c r="V9" s="211"/>
      <c r="W9" s="211"/>
      <c r="X9" s="211"/>
      <c r="Y9" s="200"/>
    </row>
    <row r="10" spans="1:29" ht="15" customHeight="1">
      <c r="A10" s="2" t="s">
        <v>461</v>
      </c>
      <c r="B10" s="180" t="s">
        <v>801</v>
      </c>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29" ht="28.5">
      <c r="A11" s="2" t="s">
        <v>462</v>
      </c>
      <c r="B11" s="181"/>
      <c r="C11" s="208"/>
      <c r="D11" s="208"/>
      <c r="E11" s="208"/>
      <c r="F11" s="208"/>
      <c r="G11" s="208"/>
      <c r="H11" s="208"/>
      <c r="I11" s="208"/>
      <c r="J11" s="208"/>
      <c r="K11" s="208"/>
      <c r="L11" s="208"/>
      <c r="M11" s="208"/>
      <c r="N11" s="208"/>
      <c r="O11" s="208"/>
      <c r="P11" s="208"/>
      <c r="Q11" s="208"/>
      <c r="R11" s="208"/>
      <c r="S11" s="208"/>
      <c r="T11" s="208"/>
      <c r="U11" s="208"/>
      <c r="V11" s="208"/>
      <c r="W11" s="208"/>
      <c r="X11" s="208"/>
      <c r="Y11" s="209"/>
    </row>
    <row r="12" spans="1:29">
      <c r="A12" s="2" t="s">
        <v>802</v>
      </c>
      <c r="B12" s="180" t="s">
        <v>803</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29">
      <c r="A13" s="124"/>
      <c r="B13" s="180"/>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29">
      <c r="A14" s="124"/>
      <c r="B14" s="180"/>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sheetData>
  <mergeCells count="8">
    <mergeCell ref="B12:Y12"/>
    <mergeCell ref="B13:Y13"/>
    <mergeCell ref="B14:Y14"/>
    <mergeCell ref="AA1:AC2"/>
    <mergeCell ref="A8:AC8"/>
    <mergeCell ref="B9:Y9"/>
    <mergeCell ref="B10:Y10"/>
    <mergeCell ref="B11:Y11"/>
  </mergeCells>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7F7F7F"/>
  </sheetPr>
  <dimension ref="A1:M2"/>
  <sheetViews>
    <sheetView workbookViewId="0"/>
  </sheetViews>
  <sheetFormatPr defaultColWidth="12.5703125" defaultRowHeight="15" customHeight="1"/>
  <cols>
    <col min="1" max="1" width="18.7109375" customWidth="1"/>
    <col min="2" max="2" width="31.140625" customWidth="1"/>
    <col min="3" max="3" width="18.7109375" customWidth="1"/>
    <col min="4" max="4" width="18.140625" customWidth="1"/>
    <col min="5" max="5" width="18.28515625" customWidth="1"/>
    <col min="6" max="7" width="22.7109375" customWidth="1"/>
    <col min="8" max="10" width="24.7109375" customWidth="1"/>
    <col min="11" max="11" width="21.85546875" customWidth="1"/>
    <col min="12" max="12" width="18.7109375" customWidth="1"/>
    <col min="13" max="13" width="18.5703125" customWidth="1"/>
    <col min="14" max="14" width="26.42578125" customWidth="1"/>
    <col min="15" max="15" width="18.28515625" customWidth="1"/>
    <col min="16" max="22" width="8.85546875" customWidth="1"/>
  </cols>
  <sheetData>
    <row r="1" spans="1:13" ht="74.25">
      <c r="A1" s="136" t="s">
        <v>804</v>
      </c>
      <c r="B1" s="136" t="s">
        <v>805</v>
      </c>
      <c r="C1" s="136"/>
      <c r="D1" s="136" t="s">
        <v>806</v>
      </c>
      <c r="E1" s="136" t="s">
        <v>807</v>
      </c>
      <c r="F1" s="136" t="s">
        <v>808</v>
      </c>
      <c r="G1" s="136" t="s">
        <v>809</v>
      </c>
      <c r="H1" s="136" t="s">
        <v>810</v>
      </c>
      <c r="I1" s="136" t="s">
        <v>810</v>
      </c>
      <c r="J1" s="136" t="s">
        <v>810</v>
      </c>
      <c r="K1" s="136" t="s">
        <v>811</v>
      </c>
      <c r="L1" s="136" t="s">
        <v>812</v>
      </c>
      <c r="M1" s="137" t="s">
        <v>813</v>
      </c>
    </row>
    <row r="2" spans="1:13" ht="43.5" customHeight="1">
      <c r="A2" s="139"/>
      <c r="B2" s="139"/>
      <c r="C2" s="139"/>
      <c r="D2" s="140"/>
      <c r="E2" s="140"/>
      <c r="F2" s="140"/>
      <c r="G2" s="140"/>
      <c r="H2" s="140" t="s">
        <v>814</v>
      </c>
      <c r="I2" s="140"/>
      <c r="J2" s="140"/>
      <c r="K2" s="141" t="s">
        <v>815</v>
      </c>
      <c r="L2" s="138"/>
      <c r="M2" s="138"/>
    </row>
  </sheetData>
  <pageMargins left="0.7" right="0.7" top="0.75" bottom="0.75" header="0" footer="0"/>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7F7F7F"/>
  </sheetPr>
  <dimension ref="A1:H60"/>
  <sheetViews>
    <sheetView workbookViewId="0">
      <pane ySplit="1" topLeftCell="A2" activePane="bottomLeft" state="frozen"/>
      <selection pane="bottomLeft" activeCell="B3" sqref="B3"/>
    </sheetView>
  </sheetViews>
  <sheetFormatPr defaultColWidth="12.5703125" defaultRowHeight="15" customHeight="1"/>
  <cols>
    <col min="1" max="1" width="12.140625" customWidth="1"/>
    <col min="2" max="2" width="12.85546875" customWidth="1"/>
    <col min="3" max="3" width="18.140625" customWidth="1"/>
    <col min="4" max="4" width="56.7109375" customWidth="1"/>
    <col min="5" max="5" width="34.7109375" customWidth="1"/>
    <col min="6" max="6" width="28" customWidth="1"/>
    <col min="7" max="7" width="27.5703125" customWidth="1"/>
    <col min="8" max="8" width="29.5703125" customWidth="1"/>
    <col min="9" max="26" width="8.85546875" customWidth="1"/>
  </cols>
  <sheetData>
    <row r="1" spans="1:8">
      <c r="A1" s="142" t="s">
        <v>816</v>
      </c>
      <c r="B1" s="142" t="s">
        <v>817</v>
      </c>
      <c r="C1" s="142" t="s">
        <v>818</v>
      </c>
      <c r="D1" s="143" t="s">
        <v>819</v>
      </c>
      <c r="E1" s="143" t="s">
        <v>820</v>
      </c>
      <c r="F1" s="143" t="s">
        <v>821</v>
      </c>
      <c r="G1" s="142" t="s">
        <v>822</v>
      </c>
      <c r="H1" s="142" t="s">
        <v>823</v>
      </c>
    </row>
    <row r="2" spans="1:8" ht="75">
      <c r="A2" s="144">
        <v>46183</v>
      </c>
      <c r="B2" s="145" t="s">
        <v>164</v>
      </c>
      <c r="C2" s="146" t="s">
        <v>737</v>
      </c>
      <c r="D2" s="117" t="s">
        <v>824</v>
      </c>
      <c r="E2" s="117" t="s">
        <v>825</v>
      </c>
      <c r="F2" s="147" t="s">
        <v>826</v>
      </c>
      <c r="G2" s="148" t="s">
        <v>827</v>
      </c>
      <c r="H2" s="117" t="s">
        <v>828</v>
      </c>
    </row>
    <row r="3" spans="1:8" ht="105">
      <c r="A3" s="144">
        <v>46183</v>
      </c>
      <c r="B3" s="149" t="s">
        <v>829</v>
      </c>
      <c r="C3" s="146" t="s">
        <v>748</v>
      </c>
      <c r="D3" s="117" t="s">
        <v>830</v>
      </c>
      <c r="E3" s="117" t="s">
        <v>831</v>
      </c>
      <c r="F3" s="147" t="s">
        <v>832</v>
      </c>
      <c r="G3" s="148" t="s">
        <v>833</v>
      </c>
      <c r="H3" s="117" t="s">
        <v>834</v>
      </c>
    </row>
    <row r="4" spans="1:8" ht="105">
      <c r="A4" s="144">
        <v>46183</v>
      </c>
      <c r="B4" s="149" t="s">
        <v>829</v>
      </c>
      <c r="C4" s="146" t="s">
        <v>835</v>
      </c>
      <c r="D4" s="117" t="s">
        <v>836</v>
      </c>
      <c r="E4" s="117" t="s">
        <v>831</v>
      </c>
      <c r="F4" s="147" t="s">
        <v>832</v>
      </c>
      <c r="G4" s="148" t="s">
        <v>837</v>
      </c>
      <c r="H4" s="117" t="s">
        <v>834</v>
      </c>
    </row>
    <row r="5" spans="1:8" ht="30">
      <c r="A5" s="144">
        <v>46183</v>
      </c>
      <c r="B5" s="149" t="s">
        <v>829</v>
      </c>
      <c r="C5" s="146" t="s">
        <v>778</v>
      </c>
      <c r="D5" s="117" t="s">
        <v>838</v>
      </c>
      <c r="E5" s="150" t="s">
        <v>839</v>
      </c>
      <c r="F5" s="147" t="s">
        <v>840</v>
      </c>
      <c r="G5" s="148" t="s">
        <v>841</v>
      </c>
      <c r="H5" s="117" t="s">
        <v>834</v>
      </c>
    </row>
    <row r="6" spans="1:8" ht="120">
      <c r="A6" s="150"/>
      <c r="B6" s="150" t="s">
        <v>842</v>
      </c>
      <c r="C6" s="151" t="s">
        <v>548</v>
      </c>
      <c r="D6" s="117" t="s">
        <v>843</v>
      </c>
      <c r="E6" s="150" t="s">
        <v>844</v>
      </c>
      <c r="F6" s="117" t="s">
        <v>845</v>
      </c>
      <c r="G6" s="148" t="s">
        <v>846</v>
      </c>
      <c r="H6" s="117" t="s">
        <v>834</v>
      </c>
    </row>
    <row r="7" spans="1:8" ht="90">
      <c r="A7" s="152"/>
      <c r="B7" s="152" t="s">
        <v>842</v>
      </c>
      <c r="C7" s="152" t="s">
        <v>847</v>
      </c>
      <c r="D7" s="152"/>
      <c r="E7" s="152"/>
      <c r="F7" s="152"/>
      <c r="G7" s="153" t="s">
        <v>848</v>
      </c>
      <c r="H7" s="152"/>
    </row>
    <row r="8" spans="1:8" ht="45">
      <c r="A8" s="152"/>
      <c r="B8" s="152"/>
      <c r="C8" s="152"/>
      <c r="D8" s="152"/>
      <c r="E8" s="152"/>
      <c r="F8" s="152"/>
      <c r="G8" s="153" t="s">
        <v>849</v>
      </c>
      <c r="H8" s="152"/>
    </row>
    <row r="9" spans="1:8" ht="28.5" customHeight="1">
      <c r="A9" s="154"/>
      <c r="B9" s="154"/>
      <c r="C9" s="154"/>
      <c r="D9" s="154"/>
      <c r="E9" s="154"/>
      <c r="F9" s="154"/>
      <c r="G9" s="10" t="s">
        <v>850</v>
      </c>
      <c r="H9" s="154"/>
    </row>
    <row r="10" spans="1:8" ht="30">
      <c r="A10" s="152"/>
      <c r="B10" s="152"/>
      <c r="C10" s="152" t="s">
        <v>851</v>
      </c>
      <c r="D10" s="152"/>
      <c r="E10" s="152"/>
      <c r="F10" s="152"/>
      <c r="G10" s="152" t="s">
        <v>852</v>
      </c>
      <c r="H10" s="152"/>
    </row>
    <row r="11" spans="1:8" ht="30">
      <c r="A11" s="152"/>
      <c r="B11" s="152"/>
      <c r="C11" s="152" t="s">
        <v>853</v>
      </c>
      <c r="D11" s="152"/>
      <c r="E11" s="152"/>
      <c r="F11" s="152"/>
      <c r="G11" s="152" t="s">
        <v>854</v>
      </c>
      <c r="H11" s="152"/>
    </row>
    <row r="12" spans="1:8" ht="30">
      <c r="A12" s="152"/>
      <c r="B12" s="152"/>
      <c r="C12" s="152"/>
      <c r="D12" s="152"/>
      <c r="E12" s="152"/>
      <c r="F12" s="152"/>
      <c r="G12" s="154" t="s">
        <v>855</v>
      </c>
      <c r="H12" s="152"/>
    </row>
    <row r="13" spans="1:8" ht="45">
      <c r="A13" s="152"/>
      <c r="B13" s="152" t="s">
        <v>856</v>
      </c>
      <c r="C13" s="152" t="s">
        <v>267</v>
      </c>
      <c r="D13" s="10" t="s">
        <v>857</v>
      </c>
      <c r="E13" s="117" t="s">
        <v>831</v>
      </c>
      <c r="F13" s="155" t="s">
        <v>858</v>
      </c>
      <c r="G13" s="152" t="s">
        <v>859</v>
      </c>
      <c r="H13" s="153" t="s">
        <v>860</v>
      </c>
    </row>
    <row r="14" spans="1:8" ht="45">
      <c r="A14" s="152"/>
      <c r="B14" s="152" t="s">
        <v>861</v>
      </c>
      <c r="C14" s="152" t="s">
        <v>862</v>
      </c>
      <c r="D14" s="152"/>
      <c r="E14" s="152" t="s">
        <v>863</v>
      </c>
      <c r="F14" s="155"/>
      <c r="G14" s="156" t="s">
        <v>864</v>
      </c>
      <c r="H14" s="153"/>
    </row>
    <row r="15" spans="1:8" ht="105">
      <c r="A15" s="152"/>
      <c r="B15" s="152" t="s">
        <v>856</v>
      </c>
      <c r="C15" s="152" t="s">
        <v>865</v>
      </c>
      <c r="D15" s="152" t="s">
        <v>866</v>
      </c>
      <c r="E15" s="152"/>
      <c r="F15" s="155"/>
      <c r="G15" s="156"/>
      <c r="H15" s="153"/>
    </row>
    <row r="16" spans="1:8" ht="60">
      <c r="A16" s="154"/>
      <c r="B16" s="154" t="s">
        <v>867</v>
      </c>
      <c r="C16" s="154" t="s">
        <v>371</v>
      </c>
      <c r="D16" s="154" t="s">
        <v>868</v>
      </c>
      <c r="E16" s="157" t="s">
        <v>831</v>
      </c>
      <c r="F16" s="158" t="s">
        <v>869</v>
      </c>
      <c r="G16" s="159" t="s">
        <v>870</v>
      </c>
      <c r="H16" s="157"/>
    </row>
    <row r="17" spans="1:8" ht="135">
      <c r="A17" s="12"/>
      <c r="B17" s="12"/>
      <c r="C17" s="152" t="s">
        <v>871</v>
      </c>
      <c r="D17" s="152" t="s">
        <v>872</v>
      </c>
      <c r="E17" s="12"/>
      <c r="F17" s="152" t="s">
        <v>873</v>
      </c>
      <c r="G17" s="152" t="s">
        <v>874</v>
      </c>
      <c r="H17" s="157" t="s">
        <v>8</v>
      </c>
    </row>
    <row r="18" spans="1:8" ht="30">
      <c r="A18" s="12"/>
      <c r="B18" s="12"/>
      <c r="C18" s="152" t="s">
        <v>875</v>
      </c>
      <c r="D18" s="152" t="s">
        <v>876</v>
      </c>
      <c r="E18" s="12"/>
      <c r="F18" s="152"/>
      <c r="G18" s="152" t="s">
        <v>877</v>
      </c>
      <c r="H18" s="157"/>
    </row>
    <row r="19" spans="1:8" ht="105">
      <c r="A19" s="12"/>
      <c r="B19" s="12"/>
      <c r="C19" s="152" t="s">
        <v>878</v>
      </c>
      <c r="D19" s="152" t="s">
        <v>879</v>
      </c>
      <c r="E19" s="12"/>
      <c r="F19" s="152" t="s">
        <v>880</v>
      </c>
      <c r="G19" s="152" t="s">
        <v>881</v>
      </c>
      <c r="H19" s="157"/>
    </row>
    <row r="20" spans="1:8" ht="102.75" customHeight="1">
      <c r="A20" s="49"/>
      <c r="B20" s="49"/>
      <c r="C20" s="154" t="s">
        <v>710</v>
      </c>
      <c r="D20" s="154"/>
      <c r="E20" s="49"/>
      <c r="F20" s="154"/>
      <c r="G20" s="154" t="s">
        <v>882</v>
      </c>
      <c r="H20" s="157"/>
    </row>
    <row r="21" spans="1:8" ht="15.75" customHeight="1">
      <c r="A21" s="160"/>
      <c r="B21" s="160"/>
      <c r="C21" s="160" t="s">
        <v>516</v>
      </c>
      <c r="D21" s="160"/>
      <c r="E21" s="160"/>
      <c r="F21" s="160"/>
      <c r="G21" s="157" t="s">
        <v>883</v>
      </c>
      <c r="H21" s="160"/>
    </row>
    <row r="22" spans="1:8" ht="15.75" customHeight="1">
      <c r="A22" s="150"/>
      <c r="B22" s="150"/>
      <c r="C22" s="161" t="s">
        <v>884</v>
      </c>
      <c r="D22" s="117"/>
      <c r="E22" s="162"/>
      <c r="F22" s="150" t="s">
        <v>885</v>
      </c>
      <c r="G22" s="117" t="s">
        <v>886</v>
      </c>
      <c r="H22" s="150"/>
    </row>
    <row r="23" spans="1:8" ht="15.75" customHeight="1">
      <c r="A23" s="160"/>
      <c r="B23" s="160"/>
      <c r="C23" s="163" t="s">
        <v>887</v>
      </c>
      <c r="D23" s="160"/>
      <c r="E23" s="164"/>
      <c r="F23" s="160"/>
      <c r="G23" s="157" t="s">
        <v>888</v>
      </c>
      <c r="H23" s="160"/>
    </row>
    <row r="24" spans="1:8" ht="123.75" customHeight="1">
      <c r="A24" s="165">
        <v>46213</v>
      </c>
      <c r="B24" s="150" t="s">
        <v>218</v>
      </c>
      <c r="C24" s="150" t="s">
        <v>603</v>
      </c>
      <c r="D24" s="117" t="s">
        <v>889</v>
      </c>
      <c r="E24" s="117" t="s">
        <v>890</v>
      </c>
      <c r="F24" s="117" t="s">
        <v>891</v>
      </c>
      <c r="G24" s="117" t="s">
        <v>892</v>
      </c>
      <c r="H24" s="150"/>
    </row>
    <row r="25" spans="1:8" ht="15.75" customHeight="1">
      <c r="A25" s="165">
        <v>46213</v>
      </c>
      <c r="B25" s="150" t="s">
        <v>218</v>
      </c>
      <c r="C25" s="150" t="s">
        <v>603</v>
      </c>
      <c r="D25" s="117" t="s">
        <v>893</v>
      </c>
      <c r="E25" s="117" t="s">
        <v>890</v>
      </c>
      <c r="F25" s="117" t="s">
        <v>894</v>
      </c>
      <c r="G25" s="117" t="s">
        <v>895</v>
      </c>
      <c r="H25" s="150"/>
    </row>
    <row r="26" spans="1:8" ht="15.75" customHeight="1">
      <c r="A26" s="165">
        <v>46213</v>
      </c>
      <c r="B26" s="150" t="s">
        <v>218</v>
      </c>
      <c r="C26" s="150" t="s">
        <v>603</v>
      </c>
      <c r="D26" s="117" t="s">
        <v>889</v>
      </c>
      <c r="E26" s="117" t="s">
        <v>890</v>
      </c>
      <c r="F26" s="117" t="s">
        <v>896</v>
      </c>
      <c r="G26" s="117" t="s">
        <v>897</v>
      </c>
      <c r="H26" s="150"/>
    </row>
    <row r="27" spans="1:8" ht="15.75" customHeight="1">
      <c r="A27" s="165"/>
      <c r="B27" s="166" t="s">
        <v>137</v>
      </c>
      <c r="C27" s="166" t="s">
        <v>285</v>
      </c>
      <c r="D27" s="117"/>
      <c r="E27" s="117"/>
      <c r="F27" s="117"/>
      <c r="G27" s="167" t="s">
        <v>898</v>
      </c>
      <c r="H27" s="150"/>
    </row>
    <row r="28" spans="1:8" ht="15.75" customHeight="1">
      <c r="A28" s="165"/>
      <c r="B28" s="166" t="s">
        <v>164</v>
      </c>
      <c r="C28" s="166" t="s">
        <v>899</v>
      </c>
      <c r="D28" s="117"/>
      <c r="E28" s="117"/>
      <c r="F28" s="117"/>
      <c r="G28" s="167" t="s">
        <v>900</v>
      </c>
      <c r="H28" s="150"/>
    </row>
    <row r="29" spans="1:8" ht="15.75" customHeight="1">
      <c r="A29" s="165"/>
      <c r="B29" s="150"/>
      <c r="C29" s="166" t="s">
        <v>305</v>
      </c>
      <c r="D29" s="117"/>
      <c r="E29" s="117"/>
      <c r="F29" s="117"/>
      <c r="G29" s="167" t="s">
        <v>901</v>
      </c>
      <c r="H29" s="150"/>
    </row>
    <row r="30" spans="1:8" ht="15.75" customHeight="1">
      <c r="B30" s="22" t="s">
        <v>902</v>
      </c>
      <c r="C30" s="22" t="s">
        <v>903</v>
      </c>
      <c r="G30" s="22" t="s">
        <v>904</v>
      </c>
    </row>
    <row r="31" spans="1:8" ht="15.75" customHeight="1">
      <c r="B31" s="22" t="s">
        <v>905</v>
      </c>
      <c r="C31" s="22" t="s">
        <v>511</v>
      </c>
      <c r="G31" s="22" t="s">
        <v>906</v>
      </c>
    </row>
    <row r="32" spans="1:8" ht="15.75" customHeight="1">
      <c r="C32" s="22" t="s">
        <v>175</v>
      </c>
      <c r="G32" s="22" t="s">
        <v>907</v>
      </c>
    </row>
    <row r="33" spans="3:7" ht="15.75" customHeight="1">
      <c r="C33" s="22" t="s">
        <v>200</v>
      </c>
      <c r="G33" s="22" t="s">
        <v>908</v>
      </c>
    </row>
    <row r="34" spans="3:7" ht="15.75" customHeight="1">
      <c r="C34" s="22" t="s">
        <v>909</v>
      </c>
      <c r="G34" s="22" t="s">
        <v>910</v>
      </c>
    </row>
    <row r="35" spans="3:7" ht="16.5" customHeight="1"/>
    <row r="36" spans="3:7" ht="18" customHeight="1"/>
    <row r="37" spans="3:7" ht="16.5" customHeight="1">
      <c r="C37" s="35" t="s">
        <v>911</v>
      </c>
    </row>
    <row r="38" spans="3:7" ht="15.75" customHeight="1">
      <c r="C38" s="35" t="s">
        <v>912</v>
      </c>
    </row>
    <row r="39" spans="3:7" ht="15.75" customHeight="1">
      <c r="C39" s="35" t="s">
        <v>913</v>
      </c>
    </row>
    <row r="40" spans="3:7" ht="15.75" customHeight="1">
      <c r="C40" s="35" t="s">
        <v>914</v>
      </c>
    </row>
    <row r="41" spans="3:7" ht="15.75" customHeight="1">
      <c r="C41" s="35" t="s">
        <v>915</v>
      </c>
    </row>
    <row r="42" spans="3:7" ht="15.75" customHeight="1">
      <c r="C42" s="35" t="s">
        <v>916</v>
      </c>
    </row>
    <row r="43" spans="3:7" ht="15.75" customHeight="1">
      <c r="C43" s="35" t="s">
        <v>917</v>
      </c>
    </row>
    <row r="44" spans="3:7" ht="15.75" customHeight="1">
      <c r="C44" s="35" t="s">
        <v>918</v>
      </c>
    </row>
    <row r="45" spans="3:7" ht="15.75" customHeight="1">
      <c r="C45" s="168" t="s">
        <v>919</v>
      </c>
    </row>
    <row r="51" spans="3:7" ht="15.75" customHeight="1">
      <c r="C51" s="7" t="s">
        <v>920</v>
      </c>
      <c r="D51" s="22" t="s">
        <v>921</v>
      </c>
    </row>
    <row r="52" spans="3:7" ht="15.75" customHeight="1">
      <c r="C52" s="169"/>
      <c r="D52" s="22" t="s">
        <v>922</v>
      </c>
    </row>
    <row r="53" spans="3:7" ht="15.75" customHeight="1">
      <c r="C53" s="169"/>
      <c r="D53" s="22" t="s">
        <v>923</v>
      </c>
    </row>
    <row r="54" spans="3:7" ht="15.75" customHeight="1">
      <c r="C54" s="169"/>
      <c r="D54" s="22" t="s">
        <v>924</v>
      </c>
    </row>
    <row r="55" spans="3:7" ht="15.75" customHeight="1">
      <c r="C55" s="169"/>
    </row>
    <row r="56" spans="3:7" ht="15.75" customHeight="1">
      <c r="C56" s="7" t="s">
        <v>925</v>
      </c>
      <c r="D56" s="7" t="s">
        <v>926</v>
      </c>
      <c r="E56" s="7" t="s">
        <v>927</v>
      </c>
      <c r="F56" s="7" t="s">
        <v>927</v>
      </c>
    </row>
    <row r="57" spans="3:7" ht="15.75" customHeight="1">
      <c r="C57" s="169"/>
      <c r="D57" s="22" t="s">
        <v>928</v>
      </c>
      <c r="E57" s="22" t="s">
        <v>929</v>
      </c>
      <c r="F57" s="22" t="s">
        <v>930</v>
      </c>
      <c r="G57" s="22" t="s">
        <v>931</v>
      </c>
    </row>
    <row r="58" spans="3:7" ht="15.75" customHeight="1">
      <c r="D58" s="22" t="s">
        <v>932</v>
      </c>
      <c r="E58" s="22" t="s">
        <v>933</v>
      </c>
      <c r="G58" s="35" t="s">
        <v>934</v>
      </c>
    </row>
    <row r="59" spans="3:7" ht="15.75" customHeight="1">
      <c r="D59" s="22" t="s">
        <v>935</v>
      </c>
      <c r="E59" s="22" t="s">
        <v>936</v>
      </c>
      <c r="G59" s="35" t="s">
        <v>937</v>
      </c>
    </row>
    <row r="60" spans="3:7" ht="15.75" customHeight="1">
      <c r="D60" s="22" t="s">
        <v>938</v>
      </c>
    </row>
  </sheetData>
  <pageMargins left="0.7" right="0.7" top="0.75" bottom="0.75" header="0" footer="0"/>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7F7F7F"/>
  </sheetPr>
  <dimension ref="A1:AD14"/>
  <sheetViews>
    <sheetView workbookViewId="0"/>
  </sheetViews>
  <sheetFormatPr defaultColWidth="12.5703125" defaultRowHeight="15" customHeight="1"/>
  <cols>
    <col min="1" max="26" width="30.7109375" customWidth="1"/>
    <col min="27" max="30" width="8.85546875" customWidth="1"/>
  </cols>
  <sheetData>
    <row r="1" spans="1:30" ht="111" customHeight="1">
      <c r="A1" s="76" t="s">
        <v>373</v>
      </c>
      <c r="B1" s="77" t="s">
        <v>428</v>
      </c>
      <c r="C1" s="80" t="s">
        <v>375</v>
      </c>
      <c r="D1" s="55" t="s">
        <v>376</v>
      </c>
      <c r="E1" s="55" t="s">
        <v>377</v>
      </c>
      <c r="F1" s="55" t="s">
        <v>378</v>
      </c>
      <c r="G1" s="55" t="s">
        <v>379</v>
      </c>
      <c r="H1" s="55" t="s">
        <v>380</v>
      </c>
      <c r="I1" s="55" t="s">
        <v>381</v>
      </c>
      <c r="J1" s="56" t="s">
        <v>382</v>
      </c>
      <c r="K1" s="56" t="s">
        <v>383</v>
      </c>
      <c r="L1" s="56" t="s">
        <v>384</v>
      </c>
      <c r="M1" s="56" t="s">
        <v>385</v>
      </c>
      <c r="N1" s="56" t="s">
        <v>386</v>
      </c>
      <c r="O1" s="57" t="s">
        <v>387</v>
      </c>
      <c r="P1" s="58" t="s">
        <v>388</v>
      </c>
      <c r="Q1" s="57" t="s">
        <v>389</v>
      </c>
      <c r="R1" s="59" t="s">
        <v>390</v>
      </c>
      <c r="S1" s="59" t="s">
        <v>391</v>
      </c>
      <c r="T1" s="59" t="s">
        <v>392</v>
      </c>
      <c r="U1" s="60" t="s">
        <v>393</v>
      </c>
      <c r="V1" s="61" t="s">
        <v>394</v>
      </c>
      <c r="W1" s="61" t="s">
        <v>395</v>
      </c>
      <c r="X1" s="61" t="s">
        <v>396</v>
      </c>
      <c r="Y1" s="61" t="s">
        <v>397</v>
      </c>
      <c r="AA1" s="185" t="s">
        <v>398</v>
      </c>
      <c r="AB1" s="201"/>
      <c r="AC1" s="202"/>
    </row>
    <row r="2" spans="1:30" ht="52.5" customHeight="1">
      <c r="A2" s="62" t="s">
        <v>399</v>
      </c>
      <c r="B2" s="63" t="s">
        <v>400</v>
      </c>
      <c r="C2" s="65"/>
      <c r="D2" s="65"/>
      <c r="E2" s="65"/>
      <c r="F2" s="65"/>
      <c r="G2" s="65"/>
      <c r="H2" s="65"/>
      <c r="I2" s="65"/>
      <c r="J2" s="65"/>
      <c r="K2" s="65"/>
      <c r="L2" s="65"/>
      <c r="M2" s="65"/>
      <c r="N2" s="65"/>
      <c r="O2" s="65"/>
      <c r="P2" s="65"/>
      <c r="Q2" s="65"/>
      <c r="R2" s="65"/>
      <c r="S2" s="65"/>
      <c r="T2" s="65"/>
      <c r="U2" s="67"/>
      <c r="V2" s="65"/>
      <c r="W2" s="65"/>
      <c r="X2" s="65"/>
      <c r="Y2" s="65"/>
      <c r="AA2" s="207"/>
      <c r="AB2" s="208"/>
      <c r="AC2" s="209"/>
    </row>
    <row r="3" spans="1:30" ht="52.5" customHeight="1">
      <c r="A3" s="68" t="s">
        <v>402</v>
      </c>
      <c r="B3" s="63" t="s">
        <v>403</v>
      </c>
      <c r="C3" s="65"/>
      <c r="D3" s="65"/>
      <c r="E3" s="65"/>
      <c r="F3" s="65"/>
      <c r="G3" s="65"/>
      <c r="H3" s="65"/>
      <c r="I3" s="65"/>
      <c r="J3" s="65"/>
      <c r="K3" s="65"/>
      <c r="L3" s="65"/>
      <c r="M3" s="65"/>
      <c r="N3" s="65"/>
      <c r="O3" s="65"/>
      <c r="P3" s="65"/>
      <c r="Q3" s="65"/>
      <c r="R3" s="65"/>
      <c r="S3" s="65"/>
      <c r="T3" s="65"/>
      <c r="U3" s="67"/>
      <c r="V3" s="65"/>
      <c r="W3" s="65"/>
      <c r="X3" s="65"/>
      <c r="Y3" s="65"/>
    </row>
    <row r="4" spans="1:30" ht="52.5" customHeight="1">
      <c r="A4" s="68" t="s">
        <v>406</v>
      </c>
      <c r="B4" s="63" t="s">
        <v>407</v>
      </c>
      <c r="C4" s="65"/>
      <c r="D4" s="66"/>
      <c r="E4" s="65"/>
      <c r="F4" s="65"/>
      <c r="G4" s="65"/>
      <c r="H4" s="65"/>
      <c r="I4" s="65"/>
      <c r="J4" s="65"/>
      <c r="K4" s="134"/>
      <c r="L4" s="134"/>
      <c r="M4" s="65"/>
      <c r="N4" s="65"/>
      <c r="O4" s="65"/>
      <c r="P4" s="65"/>
      <c r="Q4" s="65"/>
      <c r="R4" s="65"/>
      <c r="S4" s="65"/>
      <c r="T4" s="65"/>
      <c r="U4" s="67"/>
      <c r="V4" s="65"/>
      <c r="W4" s="65"/>
      <c r="X4" s="65"/>
      <c r="Y4" s="65"/>
    </row>
    <row r="5" spans="1:30" ht="52.5" customHeight="1">
      <c r="A5" s="68" t="s">
        <v>410</v>
      </c>
      <c r="B5" s="63" t="s">
        <v>411</v>
      </c>
      <c r="C5" s="73"/>
      <c r="D5" s="134"/>
      <c r="E5" s="135"/>
      <c r="F5" s="134"/>
      <c r="G5" s="65"/>
      <c r="H5" s="65"/>
      <c r="I5" s="65"/>
      <c r="J5" s="65"/>
      <c r="K5" s="65"/>
      <c r="L5" s="65"/>
      <c r="M5" s="65"/>
      <c r="N5" s="65"/>
      <c r="O5" s="65"/>
      <c r="P5" s="65"/>
      <c r="Q5" s="65"/>
      <c r="R5" s="65"/>
      <c r="S5" s="65"/>
      <c r="T5" s="65"/>
      <c r="U5" s="67"/>
      <c r="V5" s="65"/>
      <c r="W5" s="65"/>
      <c r="X5" s="65"/>
      <c r="Y5" s="65"/>
    </row>
    <row r="6" spans="1:30" ht="52.5" customHeight="1">
      <c r="A6" s="88" t="s">
        <v>412</v>
      </c>
      <c r="B6" s="96" t="s">
        <v>431</v>
      </c>
      <c r="C6" s="65"/>
      <c r="D6" s="87"/>
      <c r="E6" s="65"/>
      <c r="F6" s="65"/>
      <c r="G6" s="65"/>
      <c r="H6" s="65"/>
      <c r="I6" s="65"/>
      <c r="J6" s="65"/>
      <c r="K6" s="65"/>
      <c r="L6" s="65"/>
      <c r="M6" s="65"/>
      <c r="N6" s="65"/>
      <c r="O6" s="65"/>
      <c r="P6" s="65"/>
      <c r="Q6" s="65"/>
      <c r="R6" s="65"/>
      <c r="S6" s="65"/>
      <c r="T6" s="65"/>
      <c r="U6" s="67"/>
      <c r="V6" s="65"/>
      <c r="W6" s="65"/>
      <c r="X6" s="65"/>
      <c r="Y6" s="65"/>
    </row>
    <row r="7" spans="1:30" ht="52.5" customHeight="1">
      <c r="A7" s="68" t="s">
        <v>422</v>
      </c>
      <c r="B7" s="63" t="s">
        <v>423</v>
      </c>
      <c r="C7" s="65"/>
      <c r="D7" s="65"/>
      <c r="E7" s="65"/>
      <c r="F7" s="65"/>
      <c r="G7" s="65"/>
      <c r="H7" s="65"/>
      <c r="I7" s="65"/>
      <c r="J7" s="65"/>
      <c r="K7" s="65"/>
      <c r="L7" s="65"/>
      <c r="M7" s="65"/>
      <c r="N7" s="65"/>
      <c r="O7" s="65"/>
      <c r="P7" s="65"/>
      <c r="Q7" s="65"/>
      <c r="R7" s="65"/>
      <c r="S7" s="65"/>
      <c r="T7" s="65"/>
      <c r="U7" s="67"/>
      <c r="V7" s="65"/>
      <c r="W7" s="65"/>
      <c r="X7" s="65"/>
      <c r="Y7" s="65"/>
    </row>
    <row r="8" spans="1:30" ht="52.5" customHeight="1">
      <c r="A8" s="188"/>
      <c r="B8" s="204"/>
      <c r="C8" s="204"/>
      <c r="D8" s="204"/>
      <c r="E8" s="204"/>
      <c r="F8" s="204"/>
      <c r="G8" s="204"/>
      <c r="H8" s="204"/>
      <c r="I8" s="204"/>
      <c r="J8" s="204"/>
      <c r="K8" s="204"/>
      <c r="L8" s="204"/>
      <c r="M8" s="204"/>
      <c r="N8" s="204"/>
      <c r="O8" s="204"/>
      <c r="P8" s="204"/>
      <c r="Q8" s="204"/>
      <c r="R8" s="204"/>
      <c r="S8" s="204"/>
      <c r="T8" s="204"/>
      <c r="U8" s="204"/>
      <c r="V8" s="204"/>
      <c r="W8" s="204"/>
      <c r="X8" s="204"/>
      <c r="Y8" s="204"/>
      <c r="Z8" s="204"/>
      <c r="AA8" s="204"/>
      <c r="AB8" s="204"/>
      <c r="AC8" s="204"/>
      <c r="AD8" s="204"/>
    </row>
    <row r="9" spans="1:30" ht="113.25" customHeight="1">
      <c r="A9" s="2" t="s">
        <v>424</v>
      </c>
      <c r="B9" s="180"/>
      <c r="C9" s="211"/>
      <c r="D9" s="211"/>
      <c r="E9" s="211"/>
      <c r="F9" s="211"/>
      <c r="G9" s="211"/>
      <c r="H9" s="211"/>
      <c r="I9" s="211"/>
      <c r="J9" s="211"/>
      <c r="K9" s="211"/>
      <c r="L9" s="211"/>
      <c r="M9" s="211"/>
      <c r="N9" s="211"/>
      <c r="O9" s="211"/>
      <c r="P9" s="211"/>
      <c r="Q9" s="211"/>
      <c r="R9" s="211"/>
      <c r="S9" s="211"/>
      <c r="T9" s="211"/>
      <c r="U9" s="211"/>
      <c r="V9" s="211"/>
      <c r="W9" s="211"/>
      <c r="X9" s="211"/>
      <c r="Y9" s="200"/>
    </row>
    <row r="10" spans="1:30" ht="113.25" customHeight="1">
      <c r="A10" s="2" t="s">
        <v>461</v>
      </c>
      <c r="B10" s="180"/>
      <c r="C10" s="211"/>
      <c r="D10" s="211"/>
      <c r="E10" s="211"/>
      <c r="F10" s="211"/>
      <c r="G10" s="211"/>
      <c r="H10" s="211"/>
      <c r="I10" s="211"/>
      <c r="J10" s="211"/>
      <c r="K10" s="211"/>
      <c r="L10" s="211"/>
      <c r="M10" s="211"/>
      <c r="N10" s="211"/>
      <c r="O10" s="211"/>
      <c r="P10" s="211"/>
      <c r="Q10" s="211"/>
      <c r="R10" s="211"/>
      <c r="S10" s="211"/>
      <c r="T10" s="211"/>
      <c r="U10" s="211"/>
      <c r="V10" s="211"/>
      <c r="W10" s="211"/>
      <c r="X10" s="211"/>
      <c r="Y10" s="200"/>
    </row>
    <row r="11" spans="1:30" ht="76.5" customHeight="1">
      <c r="A11" s="2" t="s">
        <v>462</v>
      </c>
      <c r="B11" s="180"/>
      <c r="C11" s="211"/>
      <c r="D11" s="211"/>
      <c r="E11" s="211"/>
      <c r="F11" s="211"/>
      <c r="G11" s="211"/>
      <c r="H11" s="211"/>
      <c r="I11" s="211"/>
      <c r="J11" s="211"/>
      <c r="K11" s="211"/>
      <c r="L11" s="211"/>
      <c r="M11" s="211"/>
      <c r="N11" s="211"/>
      <c r="O11" s="211"/>
      <c r="P11" s="211"/>
      <c r="Q11" s="211"/>
      <c r="R11" s="211"/>
      <c r="S11" s="211"/>
      <c r="T11" s="211"/>
      <c r="U11" s="211"/>
      <c r="V11" s="211"/>
      <c r="W11" s="211"/>
      <c r="X11" s="211"/>
      <c r="Y11" s="200"/>
    </row>
    <row r="12" spans="1:30" ht="76.5" customHeight="1">
      <c r="A12" s="2" t="s">
        <v>939</v>
      </c>
      <c r="B12" s="180" t="s">
        <v>940</v>
      </c>
      <c r="C12" s="211"/>
      <c r="D12" s="211"/>
      <c r="E12" s="211"/>
      <c r="F12" s="211"/>
      <c r="G12" s="211"/>
      <c r="H12" s="211"/>
      <c r="I12" s="211"/>
      <c r="J12" s="211"/>
      <c r="K12" s="211"/>
      <c r="L12" s="211"/>
      <c r="M12" s="211"/>
      <c r="N12" s="211"/>
      <c r="O12" s="211"/>
      <c r="P12" s="211"/>
      <c r="Q12" s="211"/>
      <c r="R12" s="211"/>
      <c r="S12" s="211"/>
      <c r="T12" s="211"/>
      <c r="U12" s="211"/>
      <c r="V12" s="211"/>
      <c r="W12" s="211"/>
      <c r="X12" s="211"/>
      <c r="Y12" s="200"/>
    </row>
    <row r="13" spans="1:30" ht="76.5" customHeight="1">
      <c r="A13" s="2" t="s">
        <v>941</v>
      </c>
      <c r="B13" s="180" t="s">
        <v>940</v>
      </c>
      <c r="C13" s="211"/>
      <c r="D13" s="211"/>
      <c r="E13" s="211"/>
      <c r="F13" s="211"/>
      <c r="G13" s="211"/>
      <c r="H13" s="211"/>
      <c r="I13" s="211"/>
      <c r="J13" s="211"/>
      <c r="K13" s="211"/>
      <c r="L13" s="211"/>
      <c r="M13" s="211"/>
      <c r="N13" s="211"/>
      <c r="O13" s="211"/>
      <c r="P13" s="211"/>
      <c r="Q13" s="211"/>
      <c r="R13" s="211"/>
      <c r="S13" s="211"/>
      <c r="T13" s="211"/>
      <c r="U13" s="211"/>
      <c r="V13" s="211"/>
      <c r="W13" s="211"/>
      <c r="X13" s="211"/>
      <c r="Y13" s="200"/>
    </row>
    <row r="14" spans="1:30" ht="76.5" customHeight="1">
      <c r="A14" s="2" t="s">
        <v>942</v>
      </c>
      <c r="B14" s="180" t="s">
        <v>940</v>
      </c>
      <c r="C14" s="211"/>
      <c r="D14" s="211"/>
      <c r="E14" s="211"/>
      <c r="F14" s="211"/>
      <c r="G14" s="211"/>
      <c r="H14" s="211"/>
      <c r="I14" s="211"/>
      <c r="J14" s="211"/>
      <c r="K14" s="211"/>
      <c r="L14" s="211"/>
      <c r="M14" s="211"/>
      <c r="N14" s="211"/>
      <c r="O14" s="211"/>
      <c r="P14" s="211"/>
      <c r="Q14" s="211"/>
      <c r="R14" s="211"/>
      <c r="S14" s="211"/>
      <c r="T14" s="211"/>
      <c r="U14" s="211"/>
      <c r="V14" s="211"/>
      <c r="W14" s="211"/>
      <c r="X14" s="211"/>
      <c r="Y14" s="200"/>
    </row>
  </sheetData>
  <mergeCells count="8">
    <mergeCell ref="B12:Y12"/>
    <mergeCell ref="B13:Y13"/>
    <mergeCell ref="B14:Y14"/>
    <mergeCell ref="AA1:AC2"/>
    <mergeCell ref="A8:AD8"/>
    <mergeCell ref="B9:Y9"/>
    <mergeCell ref="B10:Y10"/>
    <mergeCell ref="B11:Y11"/>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2026-08-15T11:48:44Z</dcterms:created>
  <dcterms:modified xsi:type="dcterms:W3CDTF">2026-08-15T11:49:58Z</dcterms:modified>
  <cp:category/>
  <cp:contentStatus/>
</cp:coreProperties>
</file>